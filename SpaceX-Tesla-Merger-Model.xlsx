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TSLA DCF" sheetId="3" state="visible" r:id="rId5"/>
    <sheet name="SPCX DCF" sheetId="4" state="visible" r:id="rId6"/>
    <sheet name="SOTP" sheetId="5" state="visible" r:id="rId7"/>
    <sheet name="Merger Model" sheetId="6" state="visible" r:id="rId8"/>
    <sheet name="Synergies" sheetId="7" state="visible" r:id="rId9"/>
    <sheet name="Governance" sheetId="8" state="visible" r:id="rId10"/>
    <sheet name="Prob-Weighted Val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<sst xmlns="http://schemas.openxmlformats.org/spreadsheetml/2006/main" count="299" uniqueCount="257">
  <si>
    <t xml:space="preserve">THE $5 TRILLION MERGER NOBODY CAN PRICE: SPACEX + TESLA</t>
  </si>
  <si>
    <t xml:space="preserve">Live Financial Model — DCF, Sum-of-the-Parts, Merger / Accretion-Dilution, Synergy &amp; Probability-Weighted Valuation</t>
  </si>
  <si>
    <t xml:space="preserve">Prerna Dudhmande  |  B.Tech (Computer Science)  |  Independent Equity &amp; M&amp;A Research Project</t>
  </si>
  <si>
    <t xml:space="preserve">Companion model to the full written report. All figures as of June 16, 2026 unless noted. Educational / portfolio project — not investment advice.</t>
  </si>
  <si>
    <t xml:space="preserve">How to use this workbook</t>
  </si>
  <si>
    <t xml:space="preserve">•  Blue text = hardcoded input / assumption (change these to run your own scenarios)</t>
  </si>
  <si>
    <t xml:space="preserve">•  Black text = formula calculated within the same sheet</t>
  </si>
  <si>
    <t xml:space="preserve">•  Green text = formula linking to another sheet (e.g., pulling from Assumptions)</t>
  </si>
  <si>
    <t xml:space="preserve">•  Tabs: Assumptions -&gt; TSLA DCF -&gt; SPCX DCF -&gt; SOTP -&gt; Merger Model -&gt; Synergies -&gt; Governance -&gt; Prob-Weighted Val</t>
  </si>
  <si>
    <t xml:space="preserve">Headline outputs</t>
  </si>
  <si>
    <t xml:space="preserve">Metric</t>
  </si>
  <si>
    <t xml:space="preserve">Value</t>
  </si>
  <si>
    <t xml:space="preserve">Source tab</t>
  </si>
  <si>
    <t xml:space="preserve">Tesla (TSLA) current price</t>
  </si>
  <si>
    <t xml:space="preserve">Assumptions</t>
  </si>
  <si>
    <t xml:space="preserve">Tesla 10-yr DCF implied price/share</t>
  </si>
  <si>
    <t xml:space="preserve">TSLA DCF</t>
  </si>
  <si>
    <t xml:space="preserve">Tesla DCF implied premium/(discount)</t>
  </si>
  <si>
    <t xml:space="preserve">SpaceX (SPCX) current price</t>
  </si>
  <si>
    <t xml:space="preserve">SpaceX 10-yr DCF implied price/share</t>
  </si>
  <si>
    <t xml:space="preserve">SPCX DCF</t>
  </si>
  <si>
    <t xml:space="preserve">SpaceX DCF implied premium/(discount)</t>
  </si>
  <si>
    <t xml:space="preserve">Combined market cap, no premium ($T)</t>
  </si>
  <si>
    <t xml:space="preserve">Breakeven exchange ratio (EBITDA/sh)</t>
  </si>
  <si>
    <t xml:space="preserve">Merger Model</t>
  </si>
  <si>
    <t xml:space="preserve">Probability-weighted SPCX value</t>
  </si>
  <si>
    <t xml:space="preserve">Prob-Weighted Val</t>
  </si>
  <si>
    <t xml:space="preserve">ASSUMPTIONS &amp; MARKET DATA</t>
  </si>
  <si>
    <t xml:space="preserve">All figures as of June 16, 2026 unless noted. Blue = input; edit these cells to run scenarios.</t>
  </si>
  <si>
    <t xml:space="preserve">Market Data</t>
  </si>
  <si>
    <t xml:space="preserve">TSLA</t>
  </si>
  <si>
    <t xml:space="preserve">SPCX</t>
  </si>
  <si>
    <t xml:space="preserve">Price ($/share)</t>
  </si>
  <si>
    <t xml:space="preserve">Shares Outstanding (B)</t>
  </si>
  <si>
    <t xml:space="preserve">Market Cap ($B)</t>
  </si>
  <si>
    <t xml:space="preserve">Total Debt ($B)</t>
  </si>
  <si>
    <t xml:space="preserve">Cash &amp; Equivalents ($B)</t>
  </si>
  <si>
    <t xml:space="preserve">Net Cash / (Debt) ($B)</t>
  </si>
  <si>
    <t xml:space="preserve">Source: company 8-K/10-K filings, S-1 prospectus, and June 2026 trading data.</t>
  </si>
  <si>
    <t xml:space="preserve">CAPM / WACC Inputs</t>
  </si>
  <si>
    <t xml:space="preserve">Risk-Free Rate</t>
  </si>
  <si>
    <t xml:space="preserve">Equity Risk Premium</t>
  </si>
  <si>
    <t xml:space="preserve">TSLA Beta</t>
  </si>
  <si>
    <t xml:space="preserve">SPCX Beta</t>
  </si>
  <si>
    <t xml:space="preserve">TSLA Pre-Tax Cost of Debt</t>
  </si>
  <si>
    <t xml:space="preserve">TSLA WACC Tax Rate</t>
  </si>
  <si>
    <t xml:space="preserve">TSLA Cost of Equity</t>
  </si>
  <si>
    <t xml:space="preserve">TSLA After-Tax Cost of Debt</t>
  </si>
  <si>
    <t xml:space="preserve">TSLA Weight of Equity</t>
  </si>
  <si>
    <t xml:space="preserve">TSLA Weight of Debt</t>
  </si>
  <si>
    <t xml:space="preserve">TSLA WACC</t>
  </si>
  <si>
    <t xml:space="preserve">SPCX Cost of Equity / WACC (no mat'l debt)</t>
  </si>
  <si>
    <t xml:space="preserve">TSLA DCF NOPAT Tax Rate</t>
  </si>
  <si>
    <t xml:space="preserve">SPCX Statutory Tax Rate (post-NOL)</t>
  </si>
  <si>
    <t xml:space="preserve">SPCX Cumulative NOL Balance ($B)</t>
  </si>
  <si>
    <t xml:space="preserve">TSLA Terminal Growth Rate</t>
  </si>
  <si>
    <t xml:space="preserve">SPCX Terminal Growth Rate</t>
  </si>
  <si>
    <t xml:space="preserve">Incremental NWC % (of revenue growth $, both cos.)</t>
  </si>
  <si>
    <t xml:space="preserve">Source: risk-free rate = 10Y UST yield proxy; ERP = standard large-cap equity risk premium; betas = trailing third-party estimates.</t>
  </si>
  <si>
    <t xml:space="preserve">Tesla FY2025A Financials ($B unless noted)</t>
  </si>
  <si>
    <t xml:space="preserve">Revenue</t>
  </si>
  <si>
    <t xml:space="preserve">Gross Profit</t>
  </si>
  <si>
    <t xml:space="preserve">Gross Margin</t>
  </si>
  <si>
    <t xml:space="preserve">Operating Income</t>
  </si>
  <si>
    <t xml:space="preserve">Operating Margin</t>
  </si>
  <si>
    <t xml:space="preserve">Adjusted EBITDA</t>
  </si>
  <si>
    <t xml:space="preserve">Adjusted EBITDA Margin</t>
  </si>
  <si>
    <t xml:space="preserve">GAAP Net Income</t>
  </si>
  <si>
    <t xml:space="preserve">Diluted EPS (GAAP, $)</t>
  </si>
  <si>
    <t xml:space="preserve">Implied Diluted Shares (B)</t>
  </si>
  <si>
    <t xml:space="preserve">Source: Tesla FY2025 quarterly 8-K filings, summed.</t>
  </si>
  <si>
    <t xml:space="preserve">SpaceX FY2025A Segment Financials ($B unless noted)</t>
  </si>
  <si>
    <t xml:space="preserve">Starlink Revenue</t>
  </si>
  <si>
    <t xml:space="preserve">Starlink Operating Income</t>
  </si>
  <si>
    <t xml:space="preserve">Starlink Operating Margin</t>
  </si>
  <si>
    <t xml:space="preserve">Launch &amp; Space Revenue</t>
  </si>
  <si>
    <t xml:space="preserve">Total Revenue</t>
  </si>
  <si>
    <t xml:space="preserve">Total Adjusted EBITDA</t>
  </si>
  <si>
    <t xml:space="preserve">GAAP Net Income / (Loss)</t>
  </si>
  <si>
    <t xml:space="preserve">Source: SpaceX S-1 prospectus and FY2025 financial disclosures.</t>
  </si>
  <si>
    <t xml:space="preserve">Tesla DCF Operating Assumptions (FY2026E–FY2035E)</t>
  </si>
  <si>
    <t xml:space="preserve">Fiscal Year</t>
  </si>
  <si>
    <t xml:space="preserve">Revenue Growth %</t>
  </si>
  <si>
    <t xml:space="preserve">EBITDA Margin %</t>
  </si>
  <si>
    <t xml:space="preserve">D&amp;A % of Revenue</t>
  </si>
  <si>
    <t xml:space="preserve">Capex % of Revenue</t>
  </si>
  <si>
    <t xml:space="preserve">Source: author estimates, informed by FY2025A base and management 2026 capex guidance (&gt;$25B).</t>
  </si>
  <si>
    <t xml:space="preserve">SpaceX DCF Operating Assumptions (FY2026E–FY2035E)</t>
  </si>
  <si>
    <t xml:space="preserve">Source: author estimates, informed by FY2025A base, S-1 disclosures, and Starlink/Launch/AI segment trends.</t>
  </si>
  <si>
    <t xml:space="preserve">Sum-of-the-Parts &amp; Comparable-Company Assumptions</t>
  </si>
  <si>
    <t xml:space="preserve">Starlink Adj. EBITDA Margin</t>
  </si>
  <si>
    <t xml:space="preserve">Launch/Space Adj. EBITDA Margin</t>
  </si>
  <si>
    <t xml:space="preserve">Starlink EV/EBITDA Multiple — Low</t>
  </si>
  <si>
    <t xml:space="preserve">Starlink EV/EBITDA Multiple — High</t>
  </si>
  <si>
    <t xml:space="preserve">Launch EV/EBITDA Multiple — Low</t>
  </si>
  <si>
    <t xml:space="preserve">Launch EV/EBITDA Multiple — High</t>
  </si>
  <si>
    <t xml:space="preserve">OpenAI Valuation ($B, Mar-2026 round)</t>
  </si>
  <si>
    <t xml:space="preserve">OpenAI Annualized Revenue ($B)</t>
  </si>
  <si>
    <t xml:space="preserve">Implied OpenAI EV/Revenue Multiple</t>
  </si>
  <si>
    <t xml:space="preserve">SpaceX AI Segment Run-Rate Revenue ($B)</t>
  </si>
  <si>
    <t xml:space="preserve">AI Multiple Haircut — Low (x OpenAI mult.)</t>
  </si>
  <si>
    <t xml:space="preserve">AI Multiple Haircut — High (x OpenAI mult.)</t>
  </si>
  <si>
    <t xml:space="preserve">Tesla Core EV/EBITDA Multiple — Low</t>
  </si>
  <si>
    <t xml:space="preserve">Tesla Core EV/EBITDA Multiple — Mid</t>
  </si>
  <si>
    <t xml:space="preserve">Tesla Core EV/EBITDA Multiple — High</t>
  </si>
  <si>
    <t xml:space="preserve">Comparable sets: Starlink vs. Comcast/Charter/EchoStar/Iridium/AST SpaceMobile; Launch vs. Boeing/Lockheed/L3Harris/Rocket Lab.</t>
  </si>
  <si>
    <t xml:space="preserve">TESLA (TSLA) — 10-YEAR DISCOUNTED CASH FLOW</t>
  </si>
  <si>
    <t xml:space="preserve">All $ in billions unless noted. Assumptions linked from the Assumptions tab (green).</t>
  </si>
  <si>
    <t xml:space="preserve">Revenue ($B)</t>
  </si>
  <si>
    <t xml:space="preserve">EBITDA ($B)</t>
  </si>
  <si>
    <t xml:space="preserve">D&amp;A ($B)</t>
  </si>
  <si>
    <t xml:space="preserve">EBIT ($B)</t>
  </si>
  <si>
    <t xml:space="preserve">NOPAT ($B)</t>
  </si>
  <si>
    <t xml:space="preserve">Capex ($B)</t>
  </si>
  <si>
    <t xml:space="preserve">Incremental NWC ($B)</t>
  </si>
  <si>
    <t xml:space="preserve">Unlevered Free Cash Flow ($B)</t>
  </si>
  <si>
    <t xml:space="preserve">Discount Period</t>
  </si>
  <si>
    <t xml:space="preserve">Discount Factor</t>
  </si>
  <si>
    <t xml:space="preserve">PV of FCF ($B)</t>
  </si>
  <si>
    <t xml:space="preserve">DCF Valuation Summary</t>
  </si>
  <si>
    <t xml:space="preserve">Sum PV of Explicit FCF ($B)</t>
  </si>
  <si>
    <t xml:space="preserve">Terminal Value, Undiscounted ($B)</t>
  </si>
  <si>
    <t xml:space="preserve">PV of Terminal Value ($B)</t>
  </si>
  <si>
    <t xml:space="preserve">PV of TV as % of EV</t>
  </si>
  <si>
    <t xml:space="preserve">Implied Enterprise Value ($B)</t>
  </si>
  <si>
    <t xml:space="preserve">(+) Net Cash ($B)</t>
  </si>
  <si>
    <t xml:space="preserve">Implied Equity Value ($B)</t>
  </si>
  <si>
    <t xml:space="preserve">Diluted Shares Outstanding (B)</t>
  </si>
  <si>
    <t xml:space="preserve">Implied Price per Share</t>
  </si>
  <si>
    <t xml:space="preserve">Current Price</t>
  </si>
  <si>
    <t xml:space="preserve">Implied Premium / (Discount) to Current</t>
  </si>
  <si>
    <t xml:space="preserve">Sensitivity: Implied Price per Share (WACC × Terminal Growth)</t>
  </si>
  <si>
    <t xml:space="preserve">WACC \ Terminal g</t>
  </si>
  <si>
    <t xml:space="preserve">Base case (WACC 13.21%, g 3.5%) highlighted via the B19:B29 waterfall above.</t>
  </si>
  <si>
    <t xml:space="preserve">SPACEX (SPCX) — 10-YEAR DISCOUNTED CASH FLOW</t>
  </si>
  <si>
    <t xml:space="preserve">All $ in billions unless noted. NOL = net operating loss carryforward shield. Assumptions linked (green).</t>
  </si>
  <si>
    <t xml:space="preserve">NOL Balance, Beginning ($B)</t>
  </si>
  <si>
    <t xml:space="preserve">NOL Utilized ($B)</t>
  </si>
  <si>
    <t xml:space="preserve">Taxable Income ($B)</t>
  </si>
  <si>
    <t xml:space="preserve">Cash Tax ($B)</t>
  </si>
  <si>
    <t xml:space="preserve">NOL Balance, Ending ($B)</t>
  </si>
  <si>
    <t xml:space="preserve">Total Shares Outstanding (B)</t>
  </si>
  <si>
    <t xml:space="preserve">Sensitivity holds the FCF and NOL-shield path fixed and varies only the discount rate and terminal growth, matching the explicit-period build above.</t>
  </si>
  <si>
    <t xml:space="preserve">SUM-OF-THE-PARTS VALUATION</t>
  </si>
  <si>
    <t xml:space="preserve">Tesla — Core vs. Option Value</t>
  </si>
  <si>
    <t xml:space="preserve">Adjusted EBITDA, FY2025A ($B)</t>
  </si>
  <si>
    <t xml:space="preserve">Actual Enterprise Value ($B)</t>
  </si>
  <si>
    <t xml:space="preserve">Core Multiple</t>
  </si>
  <si>
    <t xml:space="preserve">Core EV ($B)</t>
  </si>
  <si>
    <t xml:space="preserve">Implied Option Value ($B)</t>
  </si>
  <si>
    <t xml:space="preserve">Option Value % of EV</t>
  </si>
  <si>
    <t xml:space="preserve">Low (9.0x)</t>
  </si>
  <si>
    <t xml:space="preserve">Mid (11.0x)</t>
  </si>
  <si>
    <t xml:space="preserve">High (13.0x)</t>
  </si>
  <si>
    <t xml:space="preserve">Core multiple = normal industrial/auto multiple. Option value = residual EV attributable to FSD/Robotaxi/Optimus optionality.</t>
  </si>
  <si>
    <t xml:space="preserve">SpaceX — Segment Sum-of-the-Parts</t>
  </si>
  <si>
    <t xml:space="preserve">Starlink Adj. EBITDA ($B)</t>
  </si>
  <si>
    <t xml:space="preserve">Launch/Space Adj. EBITDA ($B)</t>
  </si>
  <si>
    <t xml:space="preserve">AI Segment Run-Rate Revenue ($B)</t>
  </si>
  <si>
    <t xml:space="preserve">Segment</t>
  </si>
  <si>
    <t xml:space="preserve">EV — Low ($B)</t>
  </si>
  <si>
    <t xml:space="preserve">EV — High ($B)</t>
  </si>
  <si>
    <t xml:space="preserve">Basis</t>
  </si>
  <si>
    <t xml:space="preserve">Starlink</t>
  </si>
  <si>
    <t xml:space="preserve">18–26x EBITDA (satcom infra comps)</t>
  </si>
  <si>
    <t xml:space="preserve">Launch / Space</t>
  </si>
  <si>
    <t xml:space="preserve">10–15x EBITDA (aerospace/defense comps)</t>
  </si>
  <si>
    <t xml:space="preserve">AI / xAI / Grok</t>
  </si>
  <si>
    <t xml:space="preserve">Haircut to OpenAI rev. multiple</t>
  </si>
  <si>
    <t xml:space="preserve">Total SOTP Enterprise Value ($B)</t>
  </si>
  <si>
    <t xml:space="preserve">vs. Current Price</t>
  </si>
  <si>
    <t xml:space="preserve">Both bounds imply a steep discount to SpaceX's current ~394x EV/EBITDA trading multiple.</t>
  </si>
  <si>
    <t xml:space="preserve">MERGER MODEL — ACCRETION / DILUTION ANALYSIS</t>
  </si>
  <si>
    <t xml:space="preserve">Hypothetical all-stock acquisition of SpaceX by Tesla. Ratio = TSLA shares issued per SPCX share.</t>
  </si>
  <si>
    <t xml:space="preserve">Share Issuance Mechanics</t>
  </si>
  <si>
    <t xml:space="preserve">Exchange Ratio</t>
  </si>
  <si>
    <t xml:space="preserve">New TSLA Shares Issued (B)</t>
  </si>
  <si>
    <t xml:space="preserve">Pro Forma Diluted Shares (B)</t>
  </si>
  <si>
    <t xml:space="preserve">New Shares as % of PF</t>
  </si>
  <si>
    <t xml:space="preserve">Earnings &amp; EBITDA Impact (FY2025A, no synergies)</t>
  </si>
  <si>
    <t xml:space="preserve">Ratio</t>
  </si>
  <si>
    <t xml:space="preserve">PF Net Income ($B)</t>
  </si>
  <si>
    <t xml:space="preserve">PF Diluted Shares (B)</t>
  </si>
  <si>
    <t xml:space="preserve">PF EPS</t>
  </si>
  <si>
    <t xml:space="preserve">EPS Accretion/(Dilution)</t>
  </si>
  <si>
    <t xml:space="preserve">PF EBITDA ($B)</t>
  </si>
  <si>
    <t xml:space="preserve">PF EBITDA/Share</t>
  </si>
  <si>
    <t xml:space="preserve">EBITDA Accr/(Dil)</t>
  </si>
  <si>
    <t xml:space="preserve">Implied SPCX $/sh</t>
  </si>
  <si>
    <t xml:space="preserve">Prem/(Disc) to Current</t>
  </si>
  <si>
    <t xml:space="preserve">Breakeven Analysis</t>
  </si>
  <si>
    <t xml:space="preserve">Combined Adj. EBITDA, no synergies ($B)</t>
  </si>
  <si>
    <t xml:space="preserve">Tesla Standalone EBITDA/Share</t>
  </si>
  <si>
    <t xml:space="preserve">Breakeven Exchange Ratio (EBITDA/sh basis)</t>
  </si>
  <si>
    <t xml:space="preserve">Implied SPCX Value at Breakeven ($/sh)</t>
  </si>
  <si>
    <t xml:space="preserve">Synergies Required to Breakeven — at 0.3x ($B)</t>
  </si>
  <si>
    <t xml:space="preserve">Synergies Required to Breakeven — at 0.5x ($B)</t>
  </si>
  <si>
    <t xml:space="preserve">Breakeven = exchange ratio at which pro forma EBITDA/share exactly equals Tesla's standalone EBITDA/share.</t>
  </si>
  <si>
    <t xml:space="preserve">SYNERGY ANALYSIS — BEAR / BASE / BULL</t>
  </si>
  <si>
    <t xml:space="preserve">Run-rate synergies, $B. Ground-up by line item.</t>
  </si>
  <si>
    <t xml:space="preserve">Synergy Line Item</t>
  </si>
  <si>
    <t xml:space="preserve">Bear</t>
  </si>
  <si>
    <t xml:space="preserve">Base</t>
  </si>
  <si>
    <t xml:space="preserve">Bull</t>
  </si>
  <si>
    <t xml:space="preserve">Revenue synergies</t>
  </si>
  <si>
    <t xml:space="preserve">Starlink × Tesla connectivity bundling</t>
  </si>
  <si>
    <t xml:space="preserve">xAI/Grok × FSD data-compute cross-leverage</t>
  </si>
  <si>
    <t xml:space="preserve">Tesla Energy × SpaceX/AI data-center &amp; ground infra</t>
  </si>
  <si>
    <t xml:space="preserve">Cost synergies</t>
  </si>
  <si>
    <t xml:space="preserve">Shared corporate G&amp;A / single public-co. overhead</t>
  </si>
  <si>
    <t xml:space="preserve">Combined procurement (semis, batteries, avionics)</t>
  </si>
  <si>
    <t xml:space="preserve">Compute infra. consolidation (Dojo/AI5-6 × Colossus)</t>
  </si>
  <si>
    <t xml:space="preserve">Total run-rate synergies ($B)</t>
  </si>
  <si>
    <t xml:space="preserve">Coverage of Breakeven Thresholds</t>
  </si>
  <si>
    <t xml:space="preserve">Synergies Required ($B)</t>
  </si>
  <si>
    <t xml:space="preserve">Bull-Case Available ($B)</t>
  </si>
  <si>
    <t xml:space="preserve">Bull-Case Coverage %</t>
  </si>
  <si>
    <t xml:space="preserve">At 0.3x exchange ratio</t>
  </si>
  <si>
    <t xml:space="preserve">At 0.5x exchange ratio</t>
  </si>
  <si>
    <t xml:space="preserve">Even the bull-case synergy program falls short of the EBITDA/share breakeven threshold at either ratio.</t>
  </si>
  <si>
    <t xml:space="preserve">GOVERNANCE — MUSK VOTING CONTROL</t>
  </si>
  <si>
    <t xml:space="preserve">Inputs</t>
  </si>
  <si>
    <t xml:space="preserve">Musk SPCX Economic Stake %</t>
  </si>
  <si>
    <t xml:space="preserve">Musk SPCX Shares (B)</t>
  </si>
  <si>
    <t xml:space="preserve">Musk TSLA Voting Stake % — Low</t>
  </si>
  <si>
    <t xml:space="preserve">Musk TSLA Voting Stake % — High</t>
  </si>
  <si>
    <t xml:space="preserve">Musk TSLA Shares (B) — Low</t>
  </si>
  <si>
    <t xml:space="preserve">Musk TSLA Shares (B) — High</t>
  </si>
  <si>
    <t xml:space="preserve">Musk SPCX Voting Power % (10:1 dual-class) — Low</t>
  </si>
  <si>
    <t xml:space="preserve">Musk SPCX Voting Power % (10:1 dual-class) — High</t>
  </si>
  <si>
    <t xml:space="preserve">Pro Forma Voting Stake at Combined, Single-Class Entity</t>
  </si>
  <si>
    <t xml:space="preserve">Musk New TSLA Sh. from SPCX Conv. (B)</t>
  </si>
  <si>
    <t xml:space="preserve">PF Total Shares (B)</t>
  </si>
  <si>
    <t xml:space="preserve">Musk PF Voting Stake — Low</t>
  </si>
  <si>
    <t xml:space="preserve">Musk PF Voting Stake — High</t>
  </si>
  <si>
    <t xml:space="preserve">At every ratio, Musk's pro forma voting stake (~30–36%) sits well below his current SpaceX supermajority (82–85%).</t>
  </si>
  <si>
    <t xml:space="preserve">PROBABILITY-WEIGHTED VALUATION (SPCX)</t>
  </si>
  <si>
    <t xml:space="preserve">Scenario Construction</t>
  </si>
  <si>
    <t xml:space="preserve">Scenario</t>
  </si>
  <si>
    <t xml:space="preserve">Probability</t>
  </si>
  <si>
    <t xml:space="preserve">Implied SPCX Value ($/sh)</t>
  </si>
  <si>
    <t xml:space="preserve">Weighted Contribution</t>
  </si>
  <si>
    <t xml:space="preserve">No deal (reverts to sell-side consensus)</t>
  </si>
  <si>
    <t xml:space="preserve">Deal at fair/no-premium terms (~0.5x)</t>
  </si>
  <si>
    <t xml:space="preserve">Deal at premium terms (~0.7x)</t>
  </si>
  <si>
    <t xml:space="preserve">Total probability check</t>
  </si>
  <si>
    <t xml:space="preserve">Probability-Weighted SPCX Value</t>
  </si>
  <si>
    <t xml:space="preserve">Current SPCX Price</t>
  </si>
  <si>
    <t xml:space="preserve">Premium / (Discount) to Current</t>
  </si>
  <si>
    <t xml:space="preserve">Cross-Check: Kalshi-Implied Weights</t>
  </si>
  <si>
    <t xml:space="preserve">P(no deal)</t>
  </si>
  <si>
    <t xml:space="preserve">P(deal)</t>
  </si>
  <si>
    <t xml:space="preserve">Deal-conditional blend: fair-terms weight</t>
  </si>
  <si>
    <t xml:space="preserve">Deal-conditional blend: premium-terms weight</t>
  </si>
  <si>
    <t xml:space="preserve">Deal-Conditional Blended Value ($/sh)</t>
  </si>
  <si>
    <t xml:space="preserve">Probability-Weighted Value, Kalshi Weights</t>
  </si>
  <si>
    <t xml:space="preserve">Both weighting schemes converge near $197–198, within ~1% of the current $200 price — consistent with market efficiency on the deal-probability dimension.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</si>
</sst>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.00;&quot;($&quot;#,##0.00\)"/>
    <numFmt numFmtId="166" formatCode="0.0%;\(0.0%\)"/>
    <numFmt numFmtId="167" formatCode="\$#,##0.00\T"/>
    <numFmt numFmtId="168" formatCode="0.0000\x"/>
    <numFmt numFmtId="169" formatCode="#,##0.00;\(#,##0.00\)"/>
    <numFmt numFmtId="170" formatCode="\$#,##0;&quot;($&quot;#,##0\)"/>
    <numFmt numFmtId="171" formatCode="0.00%;\(0.00%\)"/>
    <numFmt numFmtId="172" formatCode="0"/>
    <numFmt numFmtId="173" formatCode="0.00\x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0B2545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i val="true"/>
      <sz val="8.5"/>
      <color rgb="FF808080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sz val="9.5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.5"/>
      <color rgb="FF008000"/>
      <name val="Arial"/>
      <family val="0"/>
      <charset val="1"/>
    </font>
    <font>
      <i val="true"/>
      <sz val="8"/>
      <color rgb="FF666666"/>
      <name val="Arial"/>
      <family val="0"/>
      <charset val="1"/>
    </font>
    <font>
      <sz val="9.5"/>
      <color rgb="FF0000FF"/>
      <name val="Arial"/>
      <family val="0"/>
      <charset val="1"/>
    </font>
    <font>
      <b val="true"/>
      <sz val="9.5"/>
      <color rgb="FF000000"/>
      <name val="Arial"/>
      <family val="0"/>
      <charset val="1"/>
    </font>
    <font>
      <sz val="9.5"/>
      <color rgb="FF008000"/>
      <name val="Arial"/>
      <family val="0"/>
      <charset val="1"/>
    </font>
    <font>
      <b val="true"/>
      <sz val="9.5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2545"/>
        <bgColor rgb="FF003300"/>
      </patternFill>
    </fill>
    <fill>
      <patternFill patternType="solid">
        <fgColor rgb="FF9C7C38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0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7C38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B2545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7" min="3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7" customFormat="false" ht="15" hidden="false" customHeight="false" outlineLevel="0" collapsed="false">
      <c r="A7" s="5" t="s">
        <v>4</v>
      </c>
      <c r="B7" s="5"/>
      <c r="C7" s="5"/>
      <c r="D7" s="5"/>
      <c r="E7" s="5"/>
      <c r="F7" s="5"/>
    </row>
    <row r="8" customFormat="false" ht="15" hidden="false" customHeight="false" outlineLevel="0" collapsed="false">
      <c r="A8" s="6" t="s">
        <v>5</v>
      </c>
      <c r="B8" s="6"/>
      <c r="C8" s="6"/>
      <c r="D8" s="6"/>
      <c r="E8" s="6"/>
      <c r="F8" s="6"/>
    </row>
    <row r="9" customFormat="false" ht="15" hidden="false" customHeight="false" outlineLevel="0" collapsed="false">
      <c r="A9" s="6" t="s">
        <v>6</v>
      </c>
      <c r="B9" s="6"/>
      <c r="C9" s="6"/>
      <c r="D9" s="6"/>
      <c r="E9" s="6"/>
      <c r="F9" s="6"/>
    </row>
    <row r="10" customFormat="false" ht="15" hidden="false" customHeight="false" outlineLevel="0" collapsed="false">
      <c r="A10" s="6" t="s">
        <v>7</v>
      </c>
      <c r="B10" s="6"/>
      <c r="C10" s="6"/>
      <c r="D10" s="6"/>
      <c r="E10" s="6"/>
      <c r="F10" s="6"/>
    </row>
    <row r="11" customFormat="false" ht="15" hidden="false" customHeight="false" outlineLevel="0" collapsed="false">
      <c r="A11" s="6" t="s">
        <v>8</v>
      </c>
      <c r="B11" s="6"/>
      <c r="C11" s="6"/>
      <c r="D11" s="6"/>
      <c r="E11" s="6"/>
      <c r="F11" s="6"/>
    </row>
    <row r="14" customFormat="false" ht="15" hidden="false" customHeight="false" outlineLevel="0" collapsed="false">
      <c r="A14" s="5" t="s">
        <v>9</v>
      </c>
      <c r="B14" s="5"/>
      <c r="C14" s="5"/>
      <c r="D14" s="5"/>
      <c r="E14" s="5"/>
      <c r="F14" s="5"/>
    </row>
    <row r="15" customFormat="false" ht="15" hidden="false" customHeight="false" outlineLevel="0" collapsed="false">
      <c r="A15" s="7" t="s">
        <v>10</v>
      </c>
      <c r="B15" s="8" t="s">
        <v>11</v>
      </c>
      <c r="C15" s="7" t="s">
        <v>12</v>
      </c>
    </row>
    <row r="16" customFormat="false" ht="15" hidden="false" customHeight="false" outlineLevel="0" collapsed="false">
      <c r="A16" s="9" t="s">
        <v>13</v>
      </c>
      <c r="B16" s="10" t="n">
        <f aca="false">Assumptions!B6</f>
        <v>406.43</v>
      </c>
      <c r="C16" s="11" t="s">
        <v>14</v>
      </c>
    </row>
    <row r="17" customFormat="false" ht="15" hidden="false" customHeight="false" outlineLevel="0" collapsed="false">
      <c r="A17" s="9" t="s">
        <v>15</v>
      </c>
      <c r="B17" s="10" t="n">
        <f aca="false">'TSLA DCF'!B27</f>
        <v>48.9643751569082</v>
      </c>
      <c r="C17" s="11" t="s">
        <v>16</v>
      </c>
    </row>
    <row r="18" customFormat="false" ht="15" hidden="false" customHeight="false" outlineLevel="0" collapsed="false">
      <c r="A18" s="9" t="s">
        <v>17</v>
      </c>
      <c r="B18" s="12" t="n">
        <f aca="false">'TSLA DCF'!B29</f>
        <v>-0.879525686694122</v>
      </c>
      <c r="C18" s="11" t="s">
        <v>16</v>
      </c>
    </row>
    <row r="19" customFormat="false" ht="15" hidden="false" customHeight="false" outlineLevel="0" collapsed="false">
      <c r="A19" s="9" t="s">
        <v>18</v>
      </c>
      <c r="B19" s="10" t="n">
        <f aca="false">Assumptions!C6</f>
        <v>200</v>
      </c>
      <c r="C19" s="11" t="s">
        <v>14</v>
      </c>
    </row>
    <row r="20" customFormat="false" ht="15" hidden="false" customHeight="false" outlineLevel="0" collapsed="false">
      <c r="A20" s="9" t="s">
        <v>19</v>
      </c>
      <c r="B20" s="10" t="n">
        <f aca="false">'SPCX DCF'!B32</f>
        <v>10.4171899184024</v>
      </c>
      <c r="C20" s="11" t="s">
        <v>20</v>
      </c>
    </row>
    <row r="21" customFormat="false" ht="15" hidden="false" customHeight="false" outlineLevel="0" collapsed="false">
      <c r="A21" s="9" t="s">
        <v>21</v>
      </c>
      <c r="B21" s="12" t="n">
        <f aca="false">'SPCX DCF'!B34</f>
        <v>-0.947914050407988</v>
      </c>
      <c r="C21" s="11" t="s">
        <v>20</v>
      </c>
    </row>
    <row r="22" customFormat="false" ht="15" hidden="false" customHeight="false" outlineLevel="0" collapsed="false">
      <c r="A22" s="9" t="s">
        <v>22</v>
      </c>
      <c r="B22" s="13" t="n">
        <f aca="false">(Assumptions!B8+Assumptions!C8)/1000</f>
        <v>4.1201768</v>
      </c>
      <c r="C22" s="11" t="s">
        <v>14</v>
      </c>
    </row>
    <row r="23" customFormat="false" ht="15" hidden="false" customHeight="false" outlineLevel="0" collapsed="false">
      <c r="A23" s="9" t="s">
        <v>23</v>
      </c>
      <c r="B23" s="14" t="n">
        <f aca="false">'Merger Model'!B19</f>
        <v>0.130754270251987</v>
      </c>
      <c r="C23" s="11" t="s">
        <v>24</v>
      </c>
    </row>
    <row r="24" customFormat="false" ht="15" hidden="false" customHeight="false" outlineLevel="0" collapsed="false">
      <c r="A24" s="9" t="s">
        <v>25</v>
      </c>
      <c r="B24" s="10" t="n">
        <f aca="false">'Prob-Weighted Val'!D9</f>
        <v>197.76115</v>
      </c>
      <c r="C24" s="11" t="s">
        <v>26</v>
      </c>
    </row>
  </sheetData>
  <mergeCells count="7">
    <mergeCell ref="A1:F1"/>
    <mergeCell ref="A7:F7"/>
    <mergeCell ref="A8:F8"/>
    <mergeCell ref="A9:F9"/>
    <mergeCell ref="A10:F10"/>
    <mergeCell ref="A11:F11"/>
    <mergeCell ref="A14:F14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11" min="2" style="0" width="10.51"/>
  </cols>
  <sheetData>
    <row r="1" customFormat="false" ht="21.75" hidden="false" customHeight="true" outlineLevel="0" collapsed="false">
      <c r="A1" s="1" t="s">
        <v>27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4" t="s">
        <v>28</v>
      </c>
    </row>
    <row r="4" customFormat="false" ht="15" hidden="false" customHeight="false" outlineLevel="0" collapsed="false">
      <c r="A4" s="5" t="s">
        <v>29</v>
      </c>
      <c r="B4" s="5"/>
      <c r="C4" s="5"/>
    </row>
    <row r="5" customFormat="false" ht="15" hidden="false" customHeight="false" outlineLevel="0" collapsed="false">
      <c r="A5" s="7"/>
      <c r="B5" s="8" t="s">
        <v>30</v>
      </c>
      <c r="C5" s="8" t="s">
        <v>31</v>
      </c>
    </row>
    <row r="6" customFormat="false" ht="15" hidden="false" customHeight="false" outlineLevel="0" collapsed="false">
      <c r="A6" s="9" t="s">
        <v>32</v>
      </c>
      <c r="B6" s="15" t="n">
        <v>406.43</v>
      </c>
      <c r="C6" s="15" t="n">
        <v>200</v>
      </c>
    </row>
    <row r="7" customFormat="false" ht="15" hidden="false" customHeight="false" outlineLevel="0" collapsed="false">
      <c r="A7" s="9" t="s">
        <v>33</v>
      </c>
      <c r="B7" s="16" t="n">
        <v>3.76</v>
      </c>
      <c r="C7" s="16" t="n">
        <v>12.96</v>
      </c>
    </row>
    <row r="8" customFormat="false" ht="15" hidden="false" customHeight="false" outlineLevel="0" collapsed="false">
      <c r="A8" s="9" t="s">
        <v>34</v>
      </c>
      <c r="B8" s="17" t="n">
        <f aca="false">B6*B7</f>
        <v>1528.1768</v>
      </c>
      <c r="C8" s="17" t="n">
        <f aca="false">C6*C7</f>
        <v>2592</v>
      </c>
    </row>
    <row r="9" customFormat="false" ht="15" hidden="false" customHeight="false" outlineLevel="0" collapsed="false">
      <c r="A9" s="9" t="s">
        <v>35</v>
      </c>
      <c r="B9" s="18" t="n">
        <v>15.89</v>
      </c>
      <c r="C9" s="18" t="n">
        <v>0</v>
      </c>
    </row>
    <row r="10" customFormat="false" ht="15" hidden="false" customHeight="false" outlineLevel="0" collapsed="false">
      <c r="A10" s="9" t="s">
        <v>36</v>
      </c>
      <c r="B10" s="18" t="n">
        <v>44.74</v>
      </c>
      <c r="C10" s="18" t="n">
        <v>0</v>
      </c>
    </row>
    <row r="11" customFormat="false" ht="15" hidden="false" customHeight="false" outlineLevel="0" collapsed="false">
      <c r="A11" s="9" t="s">
        <v>37</v>
      </c>
      <c r="B11" s="17" t="n">
        <f aca="false">B10-B9</f>
        <v>28.85</v>
      </c>
      <c r="C11" s="17" t="n">
        <f aca="false">C10-C9</f>
        <v>0</v>
      </c>
    </row>
    <row r="12" customFormat="false" ht="15" hidden="false" customHeight="false" outlineLevel="0" collapsed="false">
      <c r="A12" s="11" t="s">
        <v>38</v>
      </c>
    </row>
    <row r="14" customFormat="false" ht="15" hidden="false" customHeight="false" outlineLevel="0" collapsed="false">
      <c r="A14" s="5" t="s">
        <v>39</v>
      </c>
      <c r="B14" s="5"/>
      <c r="C14" s="5"/>
    </row>
    <row r="15" customFormat="false" ht="15" hidden="false" customHeight="false" outlineLevel="0" collapsed="false">
      <c r="A15" s="9" t="s">
        <v>40</v>
      </c>
      <c r="B15" s="19" t="n">
        <v>0.043</v>
      </c>
    </row>
    <row r="16" customFormat="false" ht="15" hidden="false" customHeight="false" outlineLevel="0" collapsed="false">
      <c r="A16" s="9" t="s">
        <v>41</v>
      </c>
      <c r="B16" s="19" t="n">
        <v>0.05</v>
      </c>
    </row>
    <row r="17" customFormat="false" ht="15" hidden="false" customHeight="false" outlineLevel="0" collapsed="false">
      <c r="A17" s="9" t="s">
        <v>42</v>
      </c>
      <c r="B17" s="16" t="n">
        <v>1.8</v>
      </c>
    </row>
    <row r="18" customFormat="false" ht="15" hidden="false" customHeight="false" outlineLevel="0" collapsed="false">
      <c r="A18" s="9" t="s">
        <v>43</v>
      </c>
      <c r="B18" s="16" t="n">
        <v>1.95</v>
      </c>
    </row>
    <row r="19" customFormat="false" ht="15" hidden="false" customHeight="false" outlineLevel="0" collapsed="false">
      <c r="A19" s="9" t="s">
        <v>44</v>
      </c>
      <c r="B19" s="19" t="n">
        <v>0.055</v>
      </c>
    </row>
    <row r="20" customFormat="false" ht="15" hidden="false" customHeight="false" outlineLevel="0" collapsed="false">
      <c r="A20" s="9" t="s">
        <v>45</v>
      </c>
      <c r="B20" s="19" t="n">
        <v>0.18</v>
      </c>
    </row>
    <row r="21" customFormat="false" ht="15" hidden="false" customHeight="false" outlineLevel="0" collapsed="false">
      <c r="A21" s="9" t="s">
        <v>46</v>
      </c>
      <c r="B21" s="20" t="n">
        <f aca="false">B15+B17*B16</f>
        <v>0.133</v>
      </c>
    </row>
    <row r="22" customFormat="false" ht="15" hidden="false" customHeight="false" outlineLevel="0" collapsed="false">
      <c r="A22" s="9" t="s">
        <v>47</v>
      </c>
      <c r="B22" s="20" t="n">
        <f aca="false">B19*(1-B20)</f>
        <v>0.0451</v>
      </c>
    </row>
    <row r="23" customFormat="false" ht="15" hidden="false" customHeight="false" outlineLevel="0" collapsed="false">
      <c r="A23" s="9" t="s">
        <v>48</v>
      </c>
      <c r="B23" s="21" t="n">
        <f aca="false">B8/(B8+B9)</f>
        <v>0.989708994455421</v>
      </c>
    </row>
    <row r="24" customFormat="false" ht="15" hidden="false" customHeight="false" outlineLevel="0" collapsed="false">
      <c r="A24" s="9" t="s">
        <v>49</v>
      </c>
      <c r="B24" s="21" t="n">
        <f aca="false">1-B23</f>
        <v>0.0102910055445788</v>
      </c>
    </row>
    <row r="25" customFormat="false" ht="15" hidden="false" customHeight="false" outlineLevel="0" collapsed="false">
      <c r="A25" s="22" t="s">
        <v>50</v>
      </c>
      <c r="B25" s="23" t="n">
        <f aca="false">B23*B21+B24*B22</f>
        <v>0.132095420612632</v>
      </c>
    </row>
    <row r="26" customFormat="false" ht="15" hidden="false" customHeight="false" outlineLevel="0" collapsed="false">
      <c r="A26" s="22" t="s">
        <v>51</v>
      </c>
      <c r="B26" s="23" t="n">
        <f aca="false">B15+B18*B16</f>
        <v>0.1405</v>
      </c>
    </row>
    <row r="27" customFormat="false" ht="15" hidden="false" customHeight="false" outlineLevel="0" collapsed="false">
      <c r="A27" s="9" t="s">
        <v>52</v>
      </c>
      <c r="B27" s="19" t="n">
        <v>0.16</v>
      </c>
    </row>
    <row r="28" customFormat="false" ht="15" hidden="false" customHeight="false" outlineLevel="0" collapsed="false">
      <c r="A28" s="9" t="s">
        <v>53</v>
      </c>
      <c r="B28" s="19" t="n">
        <v>0.21</v>
      </c>
    </row>
    <row r="29" customFormat="false" ht="15" hidden="false" customHeight="false" outlineLevel="0" collapsed="false">
      <c r="A29" s="9" t="s">
        <v>54</v>
      </c>
      <c r="B29" s="18" t="n">
        <v>41.3</v>
      </c>
    </row>
    <row r="30" customFormat="false" ht="15" hidden="false" customHeight="false" outlineLevel="0" collapsed="false">
      <c r="A30" s="9" t="s">
        <v>55</v>
      </c>
      <c r="B30" s="19" t="n">
        <v>0.035</v>
      </c>
    </row>
    <row r="31" customFormat="false" ht="15" hidden="false" customHeight="false" outlineLevel="0" collapsed="false">
      <c r="A31" s="9" t="s">
        <v>56</v>
      </c>
      <c r="B31" s="19" t="n">
        <v>0.04</v>
      </c>
    </row>
    <row r="32" customFormat="false" ht="15" hidden="false" customHeight="false" outlineLevel="0" collapsed="false">
      <c r="A32" s="9" t="s">
        <v>57</v>
      </c>
      <c r="B32" s="19" t="n">
        <v>0.04</v>
      </c>
    </row>
    <row r="33" customFormat="false" ht="15" hidden="false" customHeight="false" outlineLevel="0" collapsed="false">
      <c r="A33" s="11" t="s">
        <v>58</v>
      </c>
    </row>
    <row r="35" customFormat="false" ht="15" hidden="false" customHeight="false" outlineLevel="0" collapsed="false">
      <c r="A35" s="5" t="s">
        <v>59</v>
      </c>
      <c r="B35" s="5"/>
      <c r="C35" s="5"/>
    </row>
    <row r="36" customFormat="false" ht="15" hidden="false" customHeight="false" outlineLevel="0" collapsed="false">
      <c r="A36" s="9" t="s">
        <v>60</v>
      </c>
      <c r="B36" s="18" t="n">
        <v>94.83</v>
      </c>
    </row>
    <row r="37" customFormat="false" ht="15" hidden="false" customHeight="false" outlineLevel="0" collapsed="false">
      <c r="A37" s="9" t="s">
        <v>61</v>
      </c>
      <c r="B37" s="18" t="n">
        <v>17.09</v>
      </c>
    </row>
    <row r="38" customFormat="false" ht="15" hidden="false" customHeight="false" outlineLevel="0" collapsed="false">
      <c r="A38" s="9" t="s">
        <v>62</v>
      </c>
      <c r="B38" s="21" t="n">
        <f aca="false">B37/B36</f>
        <v>0.180217230834124</v>
      </c>
    </row>
    <row r="39" customFormat="false" ht="15" hidden="false" customHeight="false" outlineLevel="0" collapsed="false">
      <c r="A39" s="9" t="s">
        <v>63</v>
      </c>
      <c r="B39" s="18" t="n">
        <v>4.36</v>
      </c>
    </row>
    <row r="40" customFormat="false" ht="15" hidden="false" customHeight="false" outlineLevel="0" collapsed="false">
      <c r="A40" s="9" t="s">
        <v>64</v>
      </c>
      <c r="B40" s="21" t="n">
        <f aca="false">B39/B36</f>
        <v>0.0459770114942529</v>
      </c>
    </row>
    <row r="41" customFormat="false" ht="15" hidden="false" customHeight="false" outlineLevel="0" collapsed="false">
      <c r="A41" s="9" t="s">
        <v>65</v>
      </c>
      <c r="B41" s="18" t="n">
        <v>14.6</v>
      </c>
    </row>
    <row r="42" customFormat="false" ht="15" hidden="false" customHeight="false" outlineLevel="0" collapsed="false">
      <c r="A42" s="9" t="s">
        <v>66</v>
      </c>
      <c r="B42" s="21" t="n">
        <f aca="false">B41/B36</f>
        <v>0.153959717389012</v>
      </c>
    </row>
    <row r="43" customFormat="false" ht="15" hidden="false" customHeight="false" outlineLevel="0" collapsed="false">
      <c r="A43" s="9" t="s">
        <v>67</v>
      </c>
      <c r="B43" s="18" t="n">
        <v>3.79</v>
      </c>
    </row>
    <row r="44" customFormat="false" ht="15" hidden="false" customHeight="false" outlineLevel="0" collapsed="false">
      <c r="A44" s="9" t="s">
        <v>68</v>
      </c>
      <c r="B44" s="15" t="n">
        <v>1.08</v>
      </c>
    </row>
    <row r="45" customFormat="false" ht="15" hidden="false" customHeight="false" outlineLevel="0" collapsed="false">
      <c r="A45" s="9" t="s">
        <v>69</v>
      </c>
      <c r="B45" s="24" t="n">
        <f aca="false">B43/B44</f>
        <v>3.50925925925926</v>
      </c>
    </row>
    <row r="46" customFormat="false" ht="15" hidden="false" customHeight="false" outlineLevel="0" collapsed="false">
      <c r="A46" s="11" t="s">
        <v>70</v>
      </c>
    </row>
    <row r="48" customFormat="false" ht="15" hidden="false" customHeight="false" outlineLevel="0" collapsed="false">
      <c r="A48" s="5" t="s">
        <v>71</v>
      </c>
      <c r="B48" s="5"/>
      <c r="C48" s="5"/>
    </row>
    <row r="49" customFormat="false" ht="15" hidden="false" customHeight="false" outlineLevel="0" collapsed="false">
      <c r="A49" s="9" t="s">
        <v>72</v>
      </c>
      <c r="B49" s="18" t="n">
        <v>11.4</v>
      </c>
    </row>
    <row r="50" customFormat="false" ht="15" hidden="false" customHeight="false" outlineLevel="0" collapsed="false">
      <c r="A50" s="9" t="s">
        <v>73</v>
      </c>
      <c r="B50" s="18" t="n">
        <v>4.4</v>
      </c>
    </row>
    <row r="51" customFormat="false" ht="15" hidden="false" customHeight="false" outlineLevel="0" collapsed="false">
      <c r="A51" s="9" t="s">
        <v>74</v>
      </c>
      <c r="B51" s="21" t="n">
        <f aca="false">B50/B49</f>
        <v>0.385964912280702</v>
      </c>
    </row>
    <row r="52" customFormat="false" ht="15" hidden="false" customHeight="false" outlineLevel="0" collapsed="false">
      <c r="A52" s="9" t="s">
        <v>75</v>
      </c>
      <c r="B52" s="18" t="n">
        <v>4.1</v>
      </c>
    </row>
    <row r="53" customFormat="false" ht="15" hidden="false" customHeight="false" outlineLevel="0" collapsed="false">
      <c r="A53" s="9" t="s">
        <v>76</v>
      </c>
      <c r="B53" s="18" t="n">
        <v>18.67</v>
      </c>
    </row>
    <row r="54" customFormat="false" ht="15" hidden="false" customHeight="false" outlineLevel="0" collapsed="false">
      <c r="A54" s="9" t="s">
        <v>77</v>
      </c>
      <c r="B54" s="18" t="n">
        <v>6.58</v>
      </c>
    </row>
    <row r="55" customFormat="false" ht="15" hidden="false" customHeight="false" outlineLevel="0" collapsed="false">
      <c r="A55" s="9" t="s">
        <v>66</v>
      </c>
      <c r="B55" s="21" t="n">
        <f aca="false">B54/B53</f>
        <v>0.352437064809855</v>
      </c>
    </row>
    <row r="56" customFormat="false" ht="15" hidden="false" customHeight="false" outlineLevel="0" collapsed="false">
      <c r="A56" s="9" t="s">
        <v>78</v>
      </c>
      <c r="B56" s="18" t="n">
        <v>-4.9</v>
      </c>
    </row>
    <row r="57" customFormat="false" ht="15" hidden="false" customHeight="false" outlineLevel="0" collapsed="false">
      <c r="A57" s="11" t="s">
        <v>79</v>
      </c>
    </row>
    <row r="59" customFormat="false" ht="15" hidden="false" customHeight="false" outlineLevel="0" collapsed="false">
      <c r="A59" s="5" t="s">
        <v>80</v>
      </c>
      <c r="B59" s="5"/>
      <c r="C59" s="5"/>
      <c r="D59" s="5"/>
      <c r="E59" s="5"/>
      <c r="F59" s="5"/>
      <c r="G59" s="5"/>
      <c r="H59" s="5"/>
      <c r="I59" s="5"/>
      <c r="J59" s="5"/>
      <c r="K59" s="5"/>
    </row>
    <row r="60" customFormat="false" ht="15" hidden="false" customHeight="false" outlineLevel="0" collapsed="false">
      <c r="A60" s="9" t="s">
        <v>81</v>
      </c>
      <c r="B60" s="25" t="n">
        <v>2026</v>
      </c>
      <c r="C60" s="25" t="n">
        <v>2027</v>
      </c>
      <c r="D60" s="25" t="n">
        <v>2028</v>
      </c>
      <c r="E60" s="25" t="n">
        <v>2029</v>
      </c>
      <c r="F60" s="25" t="n">
        <v>2030</v>
      </c>
      <c r="G60" s="25" t="n">
        <v>2031</v>
      </c>
      <c r="H60" s="25" t="n">
        <v>2032</v>
      </c>
      <c r="I60" s="25" t="n">
        <v>2033</v>
      </c>
      <c r="J60" s="25" t="n">
        <v>2034</v>
      </c>
      <c r="K60" s="25" t="n">
        <v>2035</v>
      </c>
    </row>
    <row r="61" customFormat="false" ht="15" hidden="false" customHeight="false" outlineLevel="0" collapsed="false">
      <c r="A61" s="9" t="s">
        <v>82</v>
      </c>
      <c r="B61" s="19" t="n">
        <v>0.09</v>
      </c>
      <c r="C61" s="19" t="n">
        <v>0.115</v>
      </c>
      <c r="D61" s="19" t="n">
        <v>0.14</v>
      </c>
      <c r="E61" s="19" t="n">
        <v>0.15</v>
      </c>
      <c r="F61" s="19" t="n">
        <v>0.15</v>
      </c>
      <c r="G61" s="19" t="n">
        <v>0.13</v>
      </c>
      <c r="H61" s="19" t="n">
        <v>0.11</v>
      </c>
      <c r="I61" s="19" t="n">
        <v>0.095</v>
      </c>
      <c r="J61" s="19" t="n">
        <v>0.08</v>
      </c>
      <c r="K61" s="19" t="n">
        <v>0.07</v>
      </c>
    </row>
    <row r="62" customFormat="false" ht="15" hidden="false" customHeight="false" outlineLevel="0" collapsed="false">
      <c r="A62" s="9" t="s">
        <v>83</v>
      </c>
      <c r="B62" s="19" t="n">
        <v>0.165</v>
      </c>
      <c r="C62" s="19" t="n">
        <v>0.178</v>
      </c>
      <c r="D62" s="19" t="n">
        <v>0.192</v>
      </c>
      <c r="E62" s="19" t="n">
        <v>0.205</v>
      </c>
      <c r="F62" s="19" t="n">
        <v>0.218</v>
      </c>
      <c r="G62" s="19" t="n">
        <v>0.228</v>
      </c>
      <c r="H62" s="19" t="n">
        <v>0.235</v>
      </c>
      <c r="I62" s="19" t="n">
        <v>0.24</v>
      </c>
      <c r="J62" s="19" t="n">
        <v>0.243</v>
      </c>
      <c r="K62" s="19" t="n">
        <v>0.245</v>
      </c>
    </row>
    <row r="63" customFormat="false" ht="15" hidden="false" customHeight="false" outlineLevel="0" collapsed="false">
      <c r="A63" s="9" t="s">
        <v>84</v>
      </c>
      <c r="B63" s="19" t="n">
        <v>0.06</v>
      </c>
      <c r="C63" s="19" t="n">
        <v>0.062</v>
      </c>
      <c r="D63" s="19" t="n">
        <v>0.065</v>
      </c>
      <c r="E63" s="19" t="n">
        <v>0.068</v>
      </c>
      <c r="F63" s="19" t="n">
        <v>0.07</v>
      </c>
      <c r="G63" s="19" t="n">
        <v>0.072</v>
      </c>
      <c r="H63" s="19" t="n">
        <v>0.074</v>
      </c>
      <c r="I63" s="19" t="n">
        <v>0.075</v>
      </c>
      <c r="J63" s="19" t="n">
        <v>0.076</v>
      </c>
      <c r="K63" s="19" t="n">
        <v>0.077</v>
      </c>
    </row>
    <row r="64" customFormat="false" ht="15" hidden="false" customHeight="false" outlineLevel="0" collapsed="false">
      <c r="A64" s="9" t="s">
        <v>85</v>
      </c>
      <c r="B64" s="19" t="n">
        <v>0.23</v>
      </c>
      <c r="C64" s="19" t="n">
        <v>0.205</v>
      </c>
      <c r="D64" s="19" t="n">
        <v>0.185</v>
      </c>
      <c r="E64" s="19" t="n">
        <v>0.165</v>
      </c>
      <c r="F64" s="19" t="n">
        <v>0.145</v>
      </c>
      <c r="G64" s="19" t="n">
        <v>0.125</v>
      </c>
      <c r="H64" s="19" t="n">
        <v>0.11</v>
      </c>
      <c r="I64" s="19" t="n">
        <v>0.095</v>
      </c>
      <c r="J64" s="19" t="n">
        <v>0.085</v>
      </c>
      <c r="K64" s="19" t="n">
        <v>0.078</v>
      </c>
    </row>
    <row r="65" customFormat="false" ht="15" hidden="false" customHeight="false" outlineLevel="0" collapsed="false">
      <c r="A65" s="11" t="s">
        <v>86</v>
      </c>
    </row>
    <row r="67" customFormat="false" ht="15" hidden="false" customHeight="false" outlineLevel="0" collapsed="false">
      <c r="A67" s="5" t="s">
        <v>87</v>
      </c>
      <c r="B67" s="5"/>
      <c r="C67" s="5"/>
      <c r="D67" s="5"/>
      <c r="E67" s="5"/>
      <c r="F67" s="5"/>
      <c r="G67" s="5"/>
      <c r="H67" s="5"/>
      <c r="I67" s="5"/>
      <c r="J67" s="5"/>
      <c r="K67" s="5"/>
    </row>
    <row r="68" customFormat="false" ht="15" hidden="false" customHeight="false" outlineLevel="0" collapsed="false">
      <c r="A68" s="9" t="s">
        <v>81</v>
      </c>
      <c r="B68" s="25" t="n">
        <v>2026</v>
      </c>
      <c r="C68" s="25" t="n">
        <v>2027</v>
      </c>
      <c r="D68" s="25" t="n">
        <v>2028</v>
      </c>
      <c r="E68" s="25" t="n">
        <v>2029</v>
      </c>
      <c r="F68" s="25" t="n">
        <v>2030</v>
      </c>
      <c r="G68" s="25" t="n">
        <v>2031</v>
      </c>
      <c r="H68" s="25" t="n">
        <v>2032</v>
      </c>
      <c r="I68" s="25" t="n">
        <v>2033</v>
      </c>
      <c r="J68" s="25" t="n">
        <v>2034</v>
      </c>
      <c r="K68" s="25" t="n">
        <v>2035</v>
      </c>
    </row>
    <row r="69" customFormat="false" ht="15" hidden="false" customHeight="false" outlineLevel="0" collapsed="false">
      <c r="A69" s="9" t="s">
        <v>82</v>
      </c>
      <c r="B69" s="19" t="n">
        <v>0.38</v>
      </c>
      <c r="C69" s="19" t="n">
        <v>0.34</v>
      </c>
      <c r="D69" s="19" t="n">
        <v>0.3</v>
      </c>
      <c r="E69" s="19" t="n">
        <v>0.27</v>
      </c>
      <c r="F69" s="19" t="n">
        <v>0.24</v>
      </c>
      <c r="G69" s="19" t="n">
        <v>0.21</v>
      </c>
      <c r="H69" s="19" t="n">
        <v>0.19</v>
      </c>
      <c r="I69" s="19" t="n">
        <v>0.17</v>
      </c>
      <c r="J69" s="19" t="n">
        <v>0.15</v>
      </c>
      <c r="K69" s="19" t="n">
        <v>0.14</v>
      </c>
    </row>
    <row r="70" customFormat="false" ht="15" hidden="false" customHeight="false" outlineLevel="0" collapsed="false">
      <c r="A70" s="9" t="s">
        <v>83</v>
      </c>
      <c r="B70" s="19" t="n">
        <v>0.355</v>
      </c>
      <c r="C70" s="19" t="n">
        <v>0.365</v>
      </c>
      <c r="D70" s="19" t="n">
        <v>0.375</v>
      </c>
      <c r="E70" s="19" t="n">
        <v>0.385</v>
      </c>
      <c r="F70" s="19" t="n">
        <v>0.395</v>
      </c>
      <c r="G70" s="19" t="n">
        <v>0.405</v>
      </c>
      <c r="H70" s="19" t="n">
        <v>0.415</v>
      </c>
      <c r="I70" s="19" t="n">
        <v>0.425</v>
      </c>
      <c r="J70" s="19" t="n">
        <v>0.435</v>
      </c>
      <c r="K70" s="19" t="n">
        <v>0.445</v>
      </c>
    </row>
    <row r="71" customFormat="false" ht="15" hidden="false" customHeight="false" outlineLevel="0" collapsed="false">
      <c r="A71" s="9" t="s">
        <v>84</v>
      </c>
      <c r="B71" s="19" t="n">
        <v>0.085</v>
      </c>
      <c r="C71" s="19" t="n">
        <v>0.09</v>
      </c>
      <c r="D71" s="19" t="n">
        <v>0.095</v>
      </c>
      <c r="E71" s="19" t="n">
        <v>0.1</v>
      </c>
      <c r="F71" s="19" t="n">
        <v>0.105</v>
      </c>
      <c r="G71" s="19" t="n">
        <v>0.11</v>
      </c>
      <c r="H71" s="19" t="n">
        <v>0.115</v>
      </c>
      <c r="I71" s="19" t="n">
        <v>0.12</v>
      </c>
      <c r="J71" s="19" t="n">
        <v>0.122</v>
      </c>
      <c r="K71" s="19" t="n">
        <v>0.124</v>
      </c>
    </row>
    <row r="72" customFormat="false" ht="15" hidden="false" customHeight="false" outlineLevel="0" collapsed="false">
      <c r="A72" s="9" t="s">
        <v>85</v>
      </c>
      <c r="B72" s="19" t="n">
        <v>0.32</v>
      </c>
      <c r="C72" s="19" t="n">
        <v>0.3</v>
      </c>
      <c r="D72" s="19" t="n">
        <v>0.28</v>
      </c>
      <c r="E72" s="19" t="n">
        <v>0.26</v>
      </c>
      <c r="F72" s="19" t="n">
        <v>0.24</v>
      </c>
      <c r="G72" s="19" t="n">
        <v>0.22</v>
      </c>
      <c r="H72" s="19" t="n">
        <v>0.205</v>
      </c>
      <c r="I72" s="19" t="n">
        <v>0.19</v>
      </c>
      <c r="J72" s="19" t="n">
        <v>0.175</v>
      </c>
      <c r="K72" s="19" t="n">
        <v>0.165</v>
      </c>
    </row>
    <row r="73" customFormat="false" ht="15" hidden="false" customHeight="false" outlineLevel="0" collapsed="false">
      <c r="A73" s="11" t="s">
        <v>88</v>
      </c>
    </row>
    <row r="75" customFormat="false" ht="15" hidden="false" customHeight="false" outlineLevel="0" collapsed="false">
      <c r="A75" s="5" t="s">
        <v>89</v>
      </c>
      <c r="B75" s="5"/>
      <c r="C75" s="5"/>
    </row>
    <row r="76" customFormat="false" ht="15" hidden="false" customHeight="false" outlineLevel="0" collapsed="false">
      <c r="A76" s="9" t="s">
        <v>90</v>
      </c>
      <c r="B76" s="19" t="n">
        <v>0.63</v>
      </c>
    </row>
    <row r="77" customFormat="false" ht="15" hidden="false" customHeight="false" outlineLevel="0" collapsed="false">
      <c r="A77" s="9" t="s">
        <v>91</v>
      </c>
      <c r="B77" s="19" t="n">
        <v>0.28</v>
      </c>
    </row>
    <row r="78" customFormat="false" ht="15" hidden="false" customHeight="false" outlineLevel="0" collapsed="false">
      <c r="A78" s="9" t="s">
        <v>92</v>
      </c>
      <c r="B78" s="26" t="n">
        <v>18</v>
      </c>
    </row>
    <row r="79" customFormat="false" ht="15" hidden="false" customHeight="false" outlineLevel="0" collapsed="false">
      <c r="A79" s="9" t="s">
        <v>93</v>
      </c>
      <c r="B79" s="26" t="n">
        <v>26</v>
      </c>
    </row>
    <row r="80" customFormat="false" ht="15" hidden="false" customHeight="false" outlineLevel="0" collapsed="false">
      <c r="A80" s="9" t="s">
        <v>94</v>
      </c>
      <c r="B80" s="26" t="n">
        <v>10</v>
      </c>
    </row>
    <row r="81" customFormat="false" ht="15" hidden="false" customHeight="false" outlineLevel="0" collapsed="false">
      <c r="A81" s="9" t="s">
        <v>95</v>
      </c>
      <c r="B81" s="26" t="n">
        <v>15</v>
      </c>
    </row>
    <row r="82" customFormat="false" ht="15" hidden="false" customHeight="false" outlineLevel="0" collapsed="false">
      <c r="A82" s="9" t="s">
        <v>96</v>
      </c>
      <c r="B82" s="18" t="n">
        <v>852</v>
      </c>
    </row>
    <row r="83" customFormat="false" ht="15" hidden="false" customHeight="false" outlineLevel="0" collapsed="false">
      <c r="A83" s="9" t="s">
        <v>97</v>
      </c>
      <c r="B83" s="18" t="n">
        <v>25</v>
      </c>
    </row>
    <row r="84" customFormat="false" ht="15" hidden="false" customHeight="false" outlineLevel="0" collapsed="false">
      <c r="A84" s="9" t="s">
        <v>98</v>
      </c>
      <c r="B84" s="27" t="n">
        <f aca="false">B82/B83</f>
        <v>34.08</v>
      </c>
    </row>
    <row r="85" customFormat="false" ht="15" hidden="false" customHeight="false" outlineLevel="0" collapsed="false">
      <c r="A85" s="9" t="s">
        <v>99</v>
      </c>
      <c r="B85" s="15" t="n">
        <v>1</v>
      </c>
    </row>
    <row r="86" customFormat="false" ht="15" hidden="false" customHeight="false" outlineLevel="0" collapsed="false">
      <c r="A86" s="9" t="s">
        <v>100</v>
      </c>
      <c r="B86" s="19" t="n">
        <v>0.3</v>
      </c>
    </row>
    <row r="87" customFormat="false" ht="15" hidden="false" customHeight="false" outlineLevel="0" collapsed="false">
      <c r="A87" s="9" t="s">
        <v>101</v>
      </c>
      <c r="B87" s="19" t="n">
        <v>0.6</v>
      </c>
    </row>
    <row r="88" customFormat="false" ht="15" hidden="false" customHeight="false" outlineLevel="0" collapsed="false">
      <c r="A88" s="9" t="s">
        <v>102</v>
      </c>
      <c r="B88" s="26" t="n">
        <v>9</v>
      </c>
    </row>
    <row r="89" customFormat="false" ht="15" hidden="false" customHeight="false" outlineLevel="0" collapsed="false">
      <c r="A89" s="9" t="s">
        <v>103</v>
      </c>
      <c r="B89" s="26" t="n">
        <v>11</v>
      </c>
    </row>
    <row r="90" customFormat="false" ht="15" hidden="false" customHeight="false" outlineLevel="0" collapsed="false">
      <c r="A90" s="9" t="s">
        <v>104</v>
      </c>
      <c r="B90" s="26" t="n">
        <v>13</v>
      </c>
    </row>
    <row r="91" customFormat="false" ht="15" hidden="false" customHeight="false" outlineLevel="0" collapsed="false">
      <c r="A91" s="11" t="s">
        <v>105</v>
      </c>
    </row>
  </sheetData>
  <mergeCells count="8">
    <mergeCell ref="A1:J1"/>
    <mergeCell ref="A4:C4"/>
    <mergeCell ref="A14:C14"/>
    <mergeCell ref="A35:C35"/>
    <mergeCell ref="A48:C48"/>
    <mergeCell ref="A59:K59"/>
    <mergeCell ref="A67:K67"/>
    <mergeCell ref="A75:C75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1" min="2" style="0" width="10.51"/>
  </cols>
  <sheetData>
    <row r="1" customFormat="false" ht="21.75" hidden="false" customHeight="true" outlineLevel="0" collapsed="false">
      <c r="A1" s="1" t="s">
        <v>106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4" t="s">
        <v>107</v>
      </c>
    </row>
    <row r="3" customFormat="false" ht="15" hidden="false" customHeight="false" outlineLevel="0" collapsed="false">
      <c r="A3" s="7" t="s">
        <v>81</v>
      </c>
      <c r="B3" s="28" t="n">
        <f aca="false">Assumptions!B60</f>
        <v>2026</v>
      </c>
      <c r="C3" s="28" t="n">
        <f aca="false">Assumptions!C60</f>
        <v>2027</v>
      </c>
      <c r="D3" s="28" t="n">
        <f aca="false">Assumptions!D60</f>
        <v>2028</v>
      </c>
      <c r="E3" s="28" t="n">
        <f aca="false">Assumptions!E60</f>
        <v>2029</v>
      </c>
      <c r="F3" s="28" t="n">
        <f aca="false">Assumptions!F60</f>
        <v>2030</v>
      </c>
      <c r="G3" s="28" t="n">
        <f aca="false">Assumptions!G60</f>
        <v>2031</v>
      </c>
      <c r="H3" s="28" t="n">
        <f aca="false">Assumptions!H60</f>
        <v>2032</v>
      </c>
      <c r="I3" s="28" t="n">
        <f aca="false">Assumptions!I60</f>
        <v>2033</v>
      </c>
      <c r="J3" s="28" t="n">
        <f aca="false">Assumptions!J60</f>
        <v>2034</v>
      </c>
      <c r="K3" s="28" t="n">
        <f aca="false">Assumptions!K60</f>
        <v>2035</v>
      </c>
    </row>
    <row r="4" customFormat="false" ht="15" hidden="false" customHeight="false" outlineLevel="0" collapsed="false">
      <c r="A4" s="22" t="s">
        <v>108</v>
      </c>
      <c r="B4" s="29" t="n">
        <f aca="false">Assumptions!$B$36*(1+Assumptions!B61)</f>
        <v>103.3647</v>
      </c>
      <c r="C4" s="29" t="n">
        <f aca="false">B4*(1+Assumptions!C61)</f>
        <v>115.2516405</v>
      </c>
      <c r="D4" s="29" t="n">
        <f aca="false">C4*(1+Assumptions!D61)</f>
        <v>131.38687017</v>
      </c>
      <c r="E4" s="29" t="n">
        <f aca="false">D4*(1+Assumptions!E61)</f>
        <v>151.0949006955</v>
      </c>
      <c r="F4" s="29" t="n">
        <f aca="false">E4*(1+Assumptions!F61)</f>
        <v>173.759135799825</v>
      </c>
      <c r="G4" s="29" t="n">
        <f aca="false">F4*(1+Assumptions!G61)</f>
        <v>196.347823453802</v>
      </c>
      <c r="H4" s="29" t="n">
        <f aca="false">G4*(1+Assumptions!H61)</f>
        <v>217.94608403372</v>
      </c>
      <c r="I4" s="29" t="n">
        <f aca="false">H4*(1+Assumptions!I61)</f>
        <v>238.650962016924</v>
      </c>
      <c r="J4" s="29" t="n">
        <f aca="false">I4*(1+Assumptions!J61)</f>
        <v>257.743038978278</v>
      </c>
      <c r="K4" s="29" t="n">
        <f aca="false">J4*(1+Assumptions!K61)</f>
        <v>275.785051706757</v>
      </c>
    </row>
    <row r="5" customFormat="false" ht="15" hidden="false" customHeight="false" outlineLevel="0" collapsed="false">
      <c r="A5" s="9" t="s">
        <v>82</v>
      </c>
      <c r="B5" s="30" t="n">
        <f aca="false">Assumptions!B61</f>
        <v>0.09</v>
      </c>
      <c r="C5" s="30" t="n">
        <f aca="false">Assumptions!C61</f>
        <v>0.115</v>
      </c>
      <c r="D5" s="30" t="n">
        <f aca="false">Assumptions!D61</f>
        <v>0.14</v>
      </c>
      <c r="E5" s="30" t="n">
        <f aca="false">Assumptions!E61</f>
        <v>0.15</v>
      </c>
      <c r="F5" s="30" t="n">
        <f aca="false">Assumptions!F61</f>
        <v>0.15</v>
      </c>
      <c r="G5" s="30" t="n">
        <f aca="false">Assumptions!G61</f>
        <v>0.13</v>
      </c>
      <c r="H5" s="30" t="n">
        <f aca="false">Assumptions!H61</f>
        <v>0.11</v>
      </c>
      <c r="I5" s="30" t="n">
        <f aca="false">Assumptions!I61</f>
        <v>0.095</v>
      </c>
      <c r="J5" s="30" t="n">
        <f aca="false">Assumptions!J61</f>
        <v>0.08</v>
      </c>
      <c r="K5" s="30" t="n">
        <f aca="false">Assumptions!K61</f>
        <v>0.07</v>
      </c>
    </row>
    <row r="6" customFormat="false" ht="15" hidden="false" customHeight="false" outlineLevel="0" collapsed="false">
      <c r="A6" s="9" t="s">
        <v>109</v>
      </c>
      <c r="B6" s="17" t="n">
        <f aca="false">B4*Assumptions!B62</f>
        <v>17.0551755</v>
      </c>
      <c r="C6" s="17" t="n">
        <f aca="false">C4*Assumptions!C62</f>
        <v>20.514792009</v>
      </c>
      <c r="D6" s="17" t="n">
        <f aca="false">D4*Assumptions!D62</f>
        <v>25.22627907264</v>
      </c>
      <c r="E6" s="17" t="n">
        <f aca="false">E4*Assumptions!E62</f>
        <v>30.9744546425775</v>
      </c>
      <c r="F6" s="17" t="n">
        <f aca="false">F4*Assumptions!F62</f>
        <v>37.8794916043618</v>
      </c>
      <c r="G6" s="17" t="n">
        <f aca="false">G4*Assumptions!G62</f>
        <v>44.7673037474669</v>
      </c>
      <c r="H6" s="17" t="n">
        <f aca="false">H4*Assumptions!H62</f>
        <v>51.2173297479243</v>
      </c>
      <c r="I6" s="17" t="n">
        <f aca="false">I4*Assumptions!I62</f>
        <v>57.2762308840617</v>
      </c>
      <c r="J6" s="17" t="n">
        <f aca="false">J4*Assumptions!J62</f>
        <v>62.6315584717215</v>
      </c>
      <c r="K6" s="17" t="n">
        <f aca="false">K4*Assumptions!K62</f>
        <v>67.5673376681555</v>
      </c>
    </row>
    <row r="7" customFormat="false" ht="15" hidden="false" customHeight="false" outlineLevel="0" collapsed="false">
      <c r="A7" s="9" t="s">
        <v>83</v>
      </c>
      <c r="B7" s="21" t="n">
        <f aca="false">B6/B4</f>
        <v>0.165</v>
      </c>
      <c r="C7" s="21" t="n">
        <f aca="false">C6/C4</f>
        <v>0.178</v>
      </c>
      <c r="D7" s="21" t="n">
        <f aca="false">D6/D4</f>
        <v>0.192</v>
      </c>
      <c r="E7" s="21" t="n">
        <f aca="false">E6/E4</f>
        <v>0.205</v>
      </c>
      <c r="F7" s="21" t="n">
        <f aca="false">F6/F4</f>
        <v>0.218</v>
      </c>
      <c r="G7" s="21" t="n">
        <f aca="false">G6/G4</f>
        <v>0.228</v>
      </c>
      <c r="H7" s="21" t="n">
        <f aca="false">H6/H4</f>
        <v>0.235</v>
      </c>
      <c r="I7" s="21" t="n">
        <f aca="false">I6/I4</f>
        <v>0.24</v>
      </c>
      <c r="J7" s="21" t="n">
        <f aca="false">J6/J4</f>
        <v>0.243</v>
      </c>
      <c r="K7" s="21" t="n">
        <f aca="false">K6/K4</f>
        <v>0.245</v>
      </c>
    </row>
    <row r="8" customFormat="false" ht="15" hidden="false" customHeight="false" outlineLevel="0" collapsed="false">
      <c r="A8" s="9" t="s">
        <v>110</v>
      </c>
      <c r="B8" s="17" t="n">
        <f aca="false">B4*Assumptions!B63</f>
        <v>6.201882</v>
      </c>
      <c r="C8" s="17" t="n">
        <f aca="false">C4*Assumptions!C63</f>
        <v>7.145601711</v>
      </c>
      <c r="D8" s="17" t="n">
        <f aca="false">D4*Assumptions!D63</f>
        <v>8.54014656105</v>
      </c>
      <c r="E8" s="17" t="n">
        <f aca="false">E4*Assumptions!E63</f>
        <v>10.274453247294</v>
      </c>
      <c r="F8" s="17" t="n">
        <f aca="false">F4*Assumptions!F63</f>
        <v>12.1631395059877</v>
      </c>
      <c r="G8" s="17" t="n">
        <f aca="false">G4*Assumptions!G63</f>
        <v>14.1370432886738</v>
      </c>
      <c r="H8" s="17" t="n">
        <f aca="false">H4*Assumptions!H63</f>
        <v>16.1280102184953</v>
      </c>
      <c r="I8" s="17" t="n">
        <f aca="false">I4*Assumptions!I63</f>
        <v>17.8988221512693</v>
      </c>
      <c r="J8" s="17" t="n">
        <f aca="false">J4*Assumptions!J63</f>
        <v>19.5884709623491</v>
      </c>
      <c r="K8" s="17" t="n">
        <f aca="false">K4*Assumptions!K63</f>
        <v>21.2354489814203</v>
      </c>
    </row>
    <row r="9" customFormat="false" ht="15" hidden="false" customHeight="false" outlineLevel="0" collapsed="false">
      <c r="A9" s="9" t="s">
        <v>111</v>
      </c>
      <c r="B9" s="17" t="n">
        <f aca="false">B6-B8</f>
        <v>10.8532935</v>
      </c>
      <c r="C9" s="17" t="n">
        <f aca="false">C6-C8</f>
        <v>13.369190298</v>
      </c>
      <c r="D9" s="17" t="n">
        <f aca="false">D6-D8</f>
        <v>16.68613251159</v>
      </c>
      <c r="E9" s="17" t="n">
        <f aca="false">E6-E8</f>
        <v>20.7000013952835</v>
      </c>
      <c r="F9" s="17" t="n">
        <f aca="false">F6-F8</f>
        <v>25.7163520983741</v>
      </c>
      <c r="G9" s="17" t="n">
        <f aca="false">G6-G8</f>
        <v>30.6302604587931</v>
      </c>
      <c r="H9" s="17" t="n">
        <f aca="false">H6-H8</f>
        <v>35.089319529429</v>
      </c>
      <c r="I9" s="17" t="n">
        <f aca="false">I6-I8</f>
        <v>39.3774087327924</v>
      </c>
      <c r="J9" s="17" t="n">
        <f aca="false">J6-J8</f>
        <v>43.0430875093724</v>
      </c>
      <c r="K9" s="17" t="n">
        <f aca="false">K6-K8</f>
        <v>46.3318886867352</v>
      </c>
    </row>
    <row r="10" customFormat="false" ht="15" hidden="false" customHeight="false" outlineLevel="0" collapsed="false">
      <c r="A10" s="9" t="s">
        <v>112</v>
      </c>
      <c r="B10" s="17" t="n">
        <f aca="false">B9*(1-Assumptions!$B$27)</f>
        <v>9.11676654</v>
      </c>
      <c r="C10" s="17" t="n">
        <f aca="false">C9*(1-Assumptions!$B$27)</f>
        <v>11.23011985032</v>
      </c>
      <c r="D10" s="17" t="n">
        <f aca="false">D9*(1-Assumptions!$B$27)</f>
        <v>14.0163513097356</v>
      </c>
      <c r="E10" s="17" t="n">
        <f aca="false">E9*(1-Assumptions!$B$27)</f>
        <v>17.3880011720381</v>
      </c>
      <c r="F10" s="17" t="n">
        <f aca="false">F9*(1-Assumptions!$B$27)</f>
        <v>21.6017357626342</v>
      </c>
      <c r="G10" s="17" t="n">
        <f aca="false">G9*(1-Assumptions!$B$27)</f>
        <v>25.7294187853862</v>
      </c>
      <c r="H10" s="17" t="n">
        <f aca="false">H9*(1-Assumptions!$B$27)</f>
        <v>29.4750284047204</v>
      </c>
      <c r="I10" s="17" t="n">
        <f aca="false">I9*(1-Assumptions!$B$27)</f>
        <v>33.0770233355456</v>
      </c>
      <c r="J10" s="17" t="n">
        <f aca="false">J9*(1-Assumptions!$B$27)</f>
        <v>36.1561935078728</v>
      </c>
      <c r="K10" s="17" t="n">
        <f aca="false">K9*(1-Assumptions!$B$27)</f>
        <v>38.9187864968576</v>
      </c>
    </row>
    <row r="11" customFormat="false" ht="15" hidden="false" customHeight="false" outlineLevel="0" collapsed="false">
      <c r="A11" s="9" t="s">
        <v>113</v>
      </c>
      <c r="B11" s="17" t="n">
        <f aca="false">B4*Assumptions!B64</f>
        <v>23.773881</v>
      </c>
      <c r="C11" s="17" t="n">
        <f aca="false">C4*Assumptions!C64</f>
        <v>23.6265863025</v>
      </c>
      <c r="D11" s="17" t="n">
        <f aca="false">D4*Assumptions!D64</f>
        <v>24.30657098145</v>
      </c>
      <c r="E11" s="17" t="n">
        <f aca="false">E4*Assumptions!E64</f>
        <v>24.9306586147575</v>
      </c>
      <c r="F11" s="17" t="n">
        <f aca="false">F4*Assumptions!F64</f>
        <v>25.1950746909746</v>
      </c>
      <c r="G11" s="17" t="n">
        <f aca="false">G4*Assumptions!G64</f>
        <v>24.5434779317253</v>
      </c>
      <c r="H11" s="17" t="n">
        <f aca="false">H4*Assumptions!H64</f>
        <v>23.9740692437093</v>
      </c>
      <c r="I11" s="17" t="n">
        <f aca="false">I4*Assumptions!I64</f>
        <v>22.6718413916078</v>
      </c>
      <c r="J11" s="17" t="n">
        <f aca="false">J4*Assumptions!J64</f>
        <v>21.9081583131536</v>
      </c>
      <c r="K11" s="17" t="n">
        <f aca="false">K4*Assumptions!K64</f>
        <v>21.5112340331271</v>
      </c>
    </row>
    <row r="12" customFormat="false" ht="15" hidden="false" customHeight="false" outlineLevel="0" collapsed="false">
      <c r="A12" s="9" t="s">
        <v>114</v>
      </c>
      <c r="B12" s="17" t="n">
        <f aca="false">B4*Assumptions!B61*Assumptions!$B$32</f>
        <v>0.37211292</v>
      </c>
      <c r="C12" s="17" t="n">
        <f aca="false">C4*Assumptions!C61*Assumptions!$B$32</f>
        <v>0.5301575463</v>
      </c>
      <c r="D12" s="17" t="n">
        <f aca="false">D4*Assumptions!D61*Assumptions!$B$32</f>
        <v>0.735766472952</v>
      </c>
      <c r="E12" s="17" t="n">
        <f aca="false">E4*Assumptions!E61*Assumptions!$B$32</f>
        <v>0.906569404173</v>
      </c>
      <c r="F12" s="17" t="n">
        <f aca="false">F4*Assumptions!F61*Assumptions!$B$32</f>
        <v>1.04255481479895</v>
      </c>
      <c r="G12" s="17" t="n">
        <f aca="false">G4*Assumptions!G61*Assumptions!$B$32</f>
        <v>1.02100868195977</v>
      </c>
      <c r="H12" s="17" t="n">
        <f aca="false">H4*Assumptions!H61*Assumptions!$B$32</f>
        <v>0.95896276974837</v>
      </c>
      <c r="I12" s="17" t="n">
        <f aca="false">I4*Assumptions!I61*Assumptions!$B$32</f>
        <v>0.906873655664311</v>
      </c>
      <c r="J12" s="17" t="n">
        <f aca="false">J4*Assumptions!J61*Assumptions!$B$32</f>
        <v>0.824777724730489</v>
      </c>
      <c r="K12" s="17" t="n">
        <f aca="false">K4*Assumptions!K61*Assumptions!$B$32</f>
        <v>0.772198144778921</v>
      </c>
    </row>
    <row r="13" customFormat="false" ht="15" hidden="false" customHeight="false" outlineLevel="0" collapsed="false">
      <c r="A13" s="22" t="s">
        <v>115</v>
      </c>
      <c r="B13" s="31" t="n">
        <f aca="false">B10+B8-B11-B12</f>
        <v>-8.82734538</v>
      </c>
      <c r="C13" s="31" t="n">
        <f aca="false">C10+C8-C11-C12</f>
        <v>-5.78102228748</v>
      </c>
      <c r="D13" s="31" t="n">
        <f aca="false">D10+D8-D11-D12</f>
        <v>-2.4858395836164</v>
      </c>
      <c r="E13" s="31" t="n">
        <f aca="false">E10+E8-E11-E12</f>
        <v>1.82522640040164</v>
      </c>
      <c r="F13" s="31" t="n">
        <f aca="false">F10+F8-F11-F12</f>
        <v>7.52724576284842</v>
      </c>
      <c r="G13" s="31" t="n">
        <f aca="false">G10+G8-G11-G12</f>
        <v>14.301975460375</v>
      </c>
      <c r="H13" s="31" t="n">
        <f aca="false">H10+H8-H11-H12</f>
        <v>20.670006609758</v>
      </c>
      <c r="I13" s="31" t="n">
        <f aca="false">I10+I8-I11-I12</f>
        <v>27.3971304395429</v>
      </c>
      <c r="J13" s="31" t="n">
        <f aca="false">J10+J8-J11-J12</f>
        <v>33.0117284323378</v>
      </c>
      <c r="K13" s="31" t="n">
        <f aca="false">K10+K8-K11-K12</f>
        <v>37.8708033003719</v>
      </c>
    </row>
    <row r="14" customFormat="false" ht="15" hidden="false" customHeight="false" outlineLevel="0" collapsed="false">
      <c r="A14" s="9" t="s">
        <v>116</v>
      </c>
      <c r="B14" s="32" t="n">
        <v>1</v>
      </c>
      <c r="C14" s="32" t="n">
        <v>2</v>
      </c>
      <c r="D14" s="32" t="n">
        <v>3</v>
      </c>
      <c r="E14" s="32" t="n">
        <v>4</v>
      </c>
      <c r="F14" s="32" t="n">
        <v>5</v>
      </c>
      <c r="G14" s="32" t="n">
        <v>6</v>
      </c>
      <c r="H14" s="32" t="n">
        <v>7</v>
      </c>
      <c r="I14" s="32" t="n">
        <v>8</v>
      </c>
      <c r="J14" s="32" t="n">
        <v>9</v>
      </c>
      <c r="K14" s="32" t="n">
        <v>10</v>
      </c>
    </row>
    <row r="15" customFormat="false" ht="15" hidden="false" customHeight="false" outlineLevel="0" collapsed="false">
      <c r="A15" s="9" t="s">
        <v>117</v>
      </c>
      <c r="B15" s="24" t="n">
        <f aca="false">1/(1+Assumptions!$B$25)^B14</f>
        <v>0.883317767912931</v>
      </c>
      <c r="C15" s="24" t="n">
        <f aca="false">1/(1+Assumptions!$B$25)^C14</f>
        <v>0.780250279110682</v>
      </c>
      <c r="D15" s="24" t="n">
        <f aca="false">1/(1+Assumptions!$B$25)^D14</f>
        <v>0.689208934957489</v>
      </c>
      <c r="E15" s="24" t="n">
        <f aca="false">1/(1+Assumptions!$B$25)^E14</f>
        <v>0.608790498052297</v>
      </c>
      <c r="F15" s="24" t="n">
        <f aca="false">1/(1+Assumptions!$B$25)^F14</f>
        <v>0.537755463866157</v>
      </c>
      <c r="G15" s="24" t="n">
        <f aca="false">1/(1+Assumptions!$B$25)^G14</f>
        <v>0.475008956025236</v>
      </c>
      <c r="H15" s="24" t="n">
        <f aca="false">1/(1+Assumptions!$B$25)^H14</f>
        <v>0.419583850774863</v>
      </c>
      <c r="I15" s="24" t="n">
        <f aca="false">1/(1+Assumptions!$B$25)^I14</f>
        <v>0.370625870518764</v>
      </c>
      <c r="J15" s="24" t="n">
        <f aca="false">1/(1+Assumptions!$B$25)^J14</f>
        <v>0.327380416677422</v>
      </c>
      <c r="K15" s="24" t="n">
        <f aca="false">1/(1+Assumptions!$B$25)^K14</f>
        <v>0.289180938917905</v>
      </c>
    </row>
    <row r="16" customFormat="false" ht="15" hidden="false" customHeight="false" outlineLevel="0" collapsed="false">
      <c r="A16" s="9" t="s">
        <v>118</v>
      </c>
      <c r="B16" s="17" t="n">
        <f aca="false">B13*B15</f>
        <v>-7.79735101765812</v>
      </c>
      <c r="C16" s="17" t="n">
        <f aca="false">C13*C15</f>
        <v>-4.51064425335134</v>
      </c>
      <c r="D16" s="17" t="n">
        <f aca="false">D13*D15</f>
        <v>-1.71326285189943</v>
      </c>
      <c r="E16" s="17" t="n">
        <f aca="false">E13*E15</f>
        <v>1.11118048935872</v>
      </c>
      <c r="F16" s="17" t="n">
        <f aca="false">F13*F15</f>
        <v>4.04781753683511</v>
      </c>
      <c r="G16" s="17" t="n">
        <f aca="false">G13*G15</f>
        <v>6.79356643253125</v>
      </c>
      <c r="H16" s="17" t="n">
        <f aca="false">H13*H15</f>
        <v>8.67280096886415</v>
      </c>
      <c r="I16" s="17" t="n">
        <f aca="false">I13*I15</f>
        <v>10.1540853188717</v>
      </c>
      <c r="J16" s="17" t="n">
        <f aca="false">J13*J15</f>
        <v>10.8073934094206</v>
      </c>
      <c r="K16" s="17" t="n">
        <f aca="false">K13*K15</f>
        <v>10.9515144559769</v>
      </c>
    </row>
    <row r="18" customFormat="false" ht="15" hidden="false" customHeight="false" outlineLevel="0" collapsed="false">
      <c r="A18" s="5" t="s">
        <v>119</v>
      </c>
      <c r="B18" s="5"/>
      <c r="C18" s="5"/>
    </row>
    <row r="19" customFormat="false" ht="15" hidden="false" customHeight="false" outlineLevel="0" collapsed="false">
      <c r="A19" s="9" t="s">
        <v>120</v>
      </c>
      <c r="B19" s="17" t="n">
        <f aca="false">SUM(B16:K16)</f>
        <v>38.5171004889495</v>
      </c>
    </row>
    <row r="20" customFormat="false" ht="15" hidden="false" customHeight="false" outlineLevel="0" collapsed="false">
      <c r="A20" s="9" t="s">
        <v>121</v>
      </c>
      <c r="B20" s="17" t="n">
        <f aca="false">K13*(1+Assumptions!$B$30)/(Assumptions!$B$25-Assumptions!$B$30)</f>
        <v>403.688260152464</v>
      </c>
    </row>
    <row r="21" customFormat="false" ht="15" hidden="false" customHeight="false" outlineLevel="0" collapsed="false">
      <c r="A21" s="9" t="s">
        <v>122</v>
      </c>
      <c r="B21" s="17" t="n">
        <f aca="false">B20*K15</f>
        <v>116.738950101025</v>
      </c>
    </row>
    <row r="22" customFormat="false" ht="15" hidden="false" customHeight="false" outlineLevel="0" collapsed="false">
      <c r="A22" s="9" t="s">
        <v>123</v>
      </c>
      <c r="B22" s="21" t="n">
        <f aca="false">B21/(B19+B21)</f>
        <v>0.751912403139304</v>
      </c>
    </row>
    <row r="23" customFormat="false" ht="15" hidden="false" customHeight="false" outlineLevel="0" collapsed="false">
      <c r="A23" s="22" t="s">
        <v>124</v>
      </c>
      <c r="B23" s="31" t="n">
        <f aca="false">B19+B21</f>
        <v>155.256050589975</v>
      </c>
    </row>
    <row r="24" customFormat="false" ht="15" hidden="false" customHeight="false" outlineLevel="0" collapsed="false">
      <c r="A24" s="9" t="s">
        <v>125</v>
      </c>
      <c r="B24" s="33" t="n">
        <f aca="false">Assumptions!B11</f>
        <v>28.85</v>
      </c>
    </row>
    <row r="25" customFormat="false" ht="15" hidden="false" customHeight="false" outlineLevel="0" collapsed="false">
      <c r="A25" s="22" t="s">
        <v>126</v>
      </c>
      <c r="B25" s="31" t="n">
        <f aca="false">B23+B24</f>
        <v>184.106050589975</v>
      </c>
    </row>
    <row r="26" customFormat="false" ht="15" hidden="false" customHeight="false" outlineLevel="0" collapsed="false">
      <c r="A26" s="9" t="s">
        <v>127</v>
      </c>
      <c r="B26" s="34" t="n">
        <f aca="false">Assumptions!B7</f>
        <v>3.76</v>
      </c>
    </row>
    <row r="27" customFormat="false" ht="15" hidden="false" customHeight="false" outlineLevel="0" collapsed="false">
      <c r="A27" s="22" t="s">
        <v>128</v>
      </c>
      <c r="B27" s="35" t="n">
        <f aca="false">B25/B26</f>
        <v>48.9643751569082</v>
      </c>
    </row>
    <row r="28" customFormat="false" ht="15" hidden="false" customHeight="false" outlineLevel="0" collapsed="false">
      <c r="A28" s="9" t="s">
        <v>129</v>
      </c>
      <c r="B28" s="36" t="n">
        <f aca="false">Assumptions!B6</f>
        <v>406.43</v>
      </c>
    </row>
    <row r="29" customFormat="false" ht="15" hidden="false" customHeight="false" outlineLevel="0" collapsed="false">
      <c r="A29" s="22" t="s">
        <v>130</v>
      </c>
      <c r="B29" s="37" t="n">
        <f aca="false">B27/B28-1</f>
        <v>-0.879525686694122</v>
      </c>
    </row>
    <row r="31" customFormat="false" ht="15" hidden="false" customHeight="false" outlineLevel="0" collapsed="false">
      <c r="A31" s="5" t="s">
        <v>131</v>
      </c>
      <c r="B31" s="5"/>
      <c r="C31" s="5"/>
      <c r="D31" s="5"/>
      <c r="E31" s="5"/>
      <c r="F31" s="5"/>
    </row>
    <row r="32" customFormat="false" ht="15" hidden="false" customHeight="false" outlineLevel="0" collapsed="false">
      <c r="A32" s="22" t="s">
        <v>132</v>
      </c>
      <c r="C32" s="38" t="n">
        <v>0.025</v>
      </c>
      <c r="D32" s="38" t="n">
        <v>0.03</v>
      </c>
      <c r="E32" s="38" t="n">
        <v>0.035</v>
      </c>
      <c r="F32" s="38" t="n">
        <v>0.04</v>
      </c>
    </row>
    <row r="33" customFormat="false" ht="15" hidden="false" customHeight="false" outlineLevel="0" collapsed="false">
      <c r="B33" s="39" t="n">
        <v>0.115</v>
      </c>
      <c r="C33" s="40" t="n">
        <f aca="false">(SUMPRODUCT($B$13:$K$13,(1+$B33)^-($B$14:$K$14))+($K$13*(1+C$32)/($B33-C$32))*(1+$B33)^-10+Assumptions!$B$11)/Assumptions!$B$7</f>
        <v>58.2356270478523</v>
      </c>
      <c r="D33" s="40" t="n">
        <f aca="false">(SUMPRODUCT($B$13:$K$13,(1+$B33)^-($B$14:$K$14))+($K$13*(1+D$32)/($B33-D$32))*(1+$B33)^-10+Assumptions!$B$11)/Assumptions!$B$7</f>
        <v>60.70707480821</v>
      </c>
      <c r="E33" s="40" t="n">
        <f aca="false">(SUMPRODUCT($B$13:$K$13,(1+$B33)^-($B$14:$K$14))+($K$13*(1+E$32)/($B33-E$32))*(1+$B33)^-10+Assumptions!$B$11)/Assumptions!$B$7</f>
        <v>63.4874535386124</v>
      </c>
      <c r="F33" s="40" t="n">
        <f aca="false">(SUMPRODUCT($B$13:$K$13,(1+$B33)^-($B$14:$K$14))+($K$13*(1+F$32)/($B33-F$32))*(1+$B33)^-10+Assumptions!$B$11)/Assumptions!$B$7</f>
        <v>66.6385494330685</v>
      </c>
    </row>
    <row r="34" customFormat="false" ht="15" hidden="false" customHeight="false" outlineLevel="0" collapsed="false">
      <c r="B34" s="39" t="n">
        <v>0.125</v>
      </c>
      <c r="C34" s="40" t="n">
        <f aca="false">(SUMPRODUCT($B$13:$K$13,(1+$B34)^-($B$14:$K$14))+($K$13*(1+C$32)/($B34-C$32))*(1+$B34)^-10+Assumptions!$B$11)/Assumptions!$B$7</f>
        <v>50.382452185373</v>
      </c>
      <c r="D34" s="40" t="n">
        <f aca="false">(SUMPRODUCT($B$13:$K$13,(1+$B34)^-($B$14:$K$14))+($K$13*(1+D$32)/($B34-D$32))*(1+$B34)^-10+Assumptions!$B$11)/Assumptions!$B$7</f>
        <v>52.2189498033982</v>
      </c>
      <c r="E34" s="40" t="n">
        <f aca="false">(SUMPRODUCT($B$13:$K$13,(1+$B34)^-($B$14:$K$14))+($K$13*(1+E$32)/($B34-E$32))*(1+$B34)^-10+Assumptions!$B$11)/Assumptions!$B$7</f>
        <v>54.2595027123152</v>
      </c>
      <c r="F34" s="40" t="n">
        <f aca="false">(SUMPRODUCT($B$13:$K$13,(1+$B34)^-($B$14:$K$14))+($K$13*(1+F$32)/($B34-F$32))*(1+$B34)^-10+Assumptions!$B$11)/Assumptions!$B$7</f>
        <v>56.54012066934</v>
      </c>
    </row>
    <row r="35" customFormat="false" ht="15" hidden="false" customHeight="false" outlineLevel="0" collapsed="false">
      <c r="B35" s="39" t="n">
        <v>0.1321</v>
      </c>
      <c r="C35" s="40" t="n">
        <f aca="false">(SUMPRODUCT($B$13:$K$13,(1+$B35)^-($B$14:$K$14))+($K$13*(1+C$32)/($B35-C$32))*(1+$B35)^-10+Assumptions!$B$11)/Assumptions!$B$7</f>
        <v>45.7906083197946</v>
      </c>
      <c r="D35" s="40" t="n">
        <f aca="false">(SUMPRODUCT($B$13:$K$13,(1+$B35)^-($B$14:$K$14))+($K$13*(1+D$32)/($B35-D$32))*(1+$B35)^-10+Assumptions!$B$11)/Assumptions!$B$7</f>
        <v>47.2982854608383</v>
      </c>
      <c r="E35" s="40" t="n">
        <f aca="false">(SUMPRODUCT($B$13:$K$13,(1+$B35)^-($B$14:$K$14))+($K$13*(1+E$32)/($B35-E$32))*(1+$B35)^-10+Assumptions!$B$11)/Assumptions!$B$7</f>
        <v>48.9612331622367</v>
      </c>
      <c r="F35" s="40" t="n">
        <f aca="false">(SUMPRODUCT($B$13:$K$13,(1+$B35)^-($B$14:$K$14))+($K$13*(1+F$32)/($B35-F$32))*(1+$B35)^-10+Assumptions!$B$11)/Assumptions!$B$7</f>
        <v>50.8047397888683</v>
      </c>
    </row>
    <row r="36" customFormat="false" ht="15" hidden="false" customHeight="false" outlineLevel="0" collapsed="false">
      <c r="B36" s="39" t="n">
        <v>0.14</v>
      </c>
      <c r="C36" s="40" t="n">
        <f aca="false">(SUMPRODUCT($B$13:$K$13,(1+$B36)^-($B$14:$K$14))+($K$13*(1+C$32)/($B36-C$32))*(1+$B36)^-10+Assumptions!$B$11)/Assumptions!$B$7</f>
        <v>41.4277808577154</v>
      </c>
      <c r="D36" s="40" t="n">
        <f aca="false">(SUMPRODUCT($B$13:$K$13,(1+$B36)^-($B$14:$K$14))+($K$13*(1+D$32)/($B36-D$32))*(1+$B36)^-10+Assumptions!$B$11)/Assumptions!$B$7</f>
        <v>42.6519811790753</v>
      </c>
      <c r="E36" s="40" t="n">
        <f aca="false">(SUMPRODUCT($B$13:$K$13,(1+$B36)^-($B$14:$K$14))+($K$13*(1+E$32)/($B36-E$32))*(1+$B36)^-10+Assumptions!$B$11)/Assumptions!$B$7</f>
        <v>43.9927720072314</v>
      </c>
      <c r="F36" s="40" t="n">
        <f aca="false">(SUMPRODUCT($B$13:$K$13,(1+$B36)^-($B$14:$K$14))+($K$13*(1+F$32)/($B36-F$32))*(1+$B36)^-10+Assumptions!$B$11)/Assumptions!$B$7</f>
        <v>45.4676419182032</v>
      </c>
    </row>
    <row r="37" customFormat="false" ht="15" hidden="false" customHeight="false" outlineLevel="0" collapsed="false">
      <c r="B37" s="39" t="n">
        <v>0.15</v>
      </c>
      <c r="C37" s="40" t="n">
        <f aca="false">(SUMPRODUCT($B$13:$K$13,(1+$B37)^-($B$14:$K$14))+($K$13*(1+C$32)/($B37-C$32))*(1+$B37)^-10+Assumptions!$B$11)/Assumptions!$B$7</f>
        <v>36.8005653751207</v>
      </c>
      <c r="D37" s="40" t="n">
        <f aca="false">(SUMPRODUCT($B$13:$K$13,(1+$B37)^-($B$14:$K$14))+($K$13*(1+D$32)/($B37-D$32))*(1+$B37)^-10+Assumptions!$B$11)/Assumptions!$B$7</f>
        <v>37.7549311456935</v>
      </c>
      <c r="E37" s="40" t="n">
        <f aca="false">(SUMPRODUCT($B$13:$K$13,(1+$B37)^-($B$14:$K$14))+($K$13*(1+E$32)/($B37-E$32))*(1+$B37)^-10+Assumptions!$B$11)/Assumptions!$B$7</f>
        <v>38.7922852441422</v>
      </c>
      <c r="F37" s="40" t="n">
        <f aca="false">(SUMPRODUCT($B$13:$K$13,(1+$B37)^-($B$14:$K$14))+($K$13*(1+F$32)/($B37-F$32))*(1+$B37)^-10+Assumptions!$B$11)/Assumptions!$B$7</f>
        <v>39.9239442606318</v>
      </c>
    </row>
    <row r="38" customFormat="false" ht="15" hidden="false" customHeight="false" outlineLevel="0" collapsed="false">
      <c r="A38" s="11" t="s">
        <v>133</v>
      </c>
    </row>
  </sheetData>
  <mergeCells count="3">
    <mergeCell ref="A1:K1"/>
    <mergeCell ref="A18:C18"/>
    <mergeCell ref="A31:F31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11" min="2" style="0" width="10.51"/>
  </cols>
  <sheetData>
    <row r="1" customFormat="false" ht="21.75" hidden="false" customHeight="true" outlineLevel="0" collapsed="false">
      <c r="A1" s="1" t="s">
        <v>134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4" t="s">
        <v>135</v>
      </c>
    </row>
    <row r="3" customFormat="false" ht="15" hidden="false" customHeight="false" outlineLevel="0" collapsed="false">
      <c r="A3" s="7" t="s">
        <v>81</v>
      </c>
      <c r="B3" s="28" t="n">
        <f aca="false">Assumptions!B68</f>
        <v>2026</v>
      </c>
      <c r="C3" s="28" t="n">
        <f aca="false">Assumptions!C68</f>
        <v>2027</v>
      </c>
      <c r="D3" s="28" t="n">
        <f aca="false">Assumptions!D68</f>
        <v>2028</v>
      </c>
      <c r="E3" s="28" t="n">
        <f aca="false">Assumptions!E68</f>
        <v>2029</v>
      </c>
      <c r="F3" s="28" t="n">
        <f aca="false">Assumptions!F68</f>
        <v>2030</v>
      </c>
      <c r="G3" s="28" t="n">
        <f aca="false">Assumptions!G68</f>
        <v>2031</v>
      </c>
      <c r="H3" s="28" t="n">
        <f aca="false">Assumptions!H68</f>
        <v>2032</v>
      </c>
      <c r="I3" s="28" t="n">
        <f aca="false">Assumptions!I68</f>
        <v>2033</v>
      </c>
      <c r="J3" s="28" t="n">
        <f aca="false">Assumptions!J68</f>
        <v>2034</v>
      </c>
      <c r="K3" s="28" t="n">
        <f aca="false">Assumptions!K68</f>
        <v>2035</v>
      </c>
    </row>
    <row r="4" customFormat="false" ht="15" hidden="false" customHeight="false" outlineLevel="0" collapsed="false">
      <c r="A4" s="22" t="s">
        <v>108</v>
      </c>
      <c r="B4" s="29" t="n">
        <f aca="false">Assumptions!$B$53*(1+Assumptions!B69)</f>
        <v>25.7646</v>
      </c>
      <c r="C4" s="29" t="n">
        <f aca="false">B4*(1+Assumptions!C69)</f>
        <v>34.524564</v>
      </c>
      <c r="D4" s="29" t="n">
        <f aca="false">C4*(1+Assumptions!D69)</f>
        <v>44.8819332</v>
      </c>
      <c r="E4" s="29" t="n">
        <f aca="false">D4*(1+Assumptions!E69)</f>
        <v>57.000055164</v>
      </c>
      <c r="F4" s="29" t="n">
        <f aca="false">E4*(1+Assumptions!F69)</f>
        <v>70.68006840336</v>
      </c>
      <c r="G4" s="29" t="n">
        <f aca="false">F4*(1+Assumptions!G69)</f>
        <v>85.5228827680656</v>
      </c>
      <c r="H4" s="29" t="n">
        <f aca="false">G4*(1+Assumptions!H69)</f>
        <v>101.772230493998</v>
      </c>
      <c r="I4" s="29" t="n">
        <f aca="false">H4*(1+Assumptions!I69)</f>
        <v>119.073509677978</v>
      </c>
      <c r="J4" s="29" t="n">
        <f aca="false">I4*(1+Assumptions!J69)</f>
        <v>136.934536129674</v>
      </c>
      <c r="K4" s="29" t="n">
        <f aca="false">J4*(1+Assumptions!K69)</f>
        <v>156.105371187829</v>
      </c>
    </row>
    <row r="5" customFormat="false" ht="15" hidden="false" customHeight="false" outlineLevel="0" collapsed="false">
      <c r="A5" s="9" t="s">
        <v>82</v>
      </c>
      <c r="B5" s="30" t="n">
        <f aca="false">Assumptions!B69</f>
        <v>0.38</v>
      </c>
      <c r="C5" s="30" t="n">
        <f aca="false">Assumptions!C69</f>
        <v>0.34</v>
      </c>
      <c r="D5" s="30" t="n">
        <f aca="false">Assumptions!D69</f>
        <v>0.3</v>
      </c>
      <c r="E5" s="30" t="n">
        <f aca="false">Assumptions!E69</f>
        <v>0.27</v>
      </c>
      <c r="F5" s="30" t="n">
        <f aca="false">Assumptions!F69</f>
        <v>0.24</v>
      </c>
      <c r="G5" s="30" t="n">
        <f aca="false">Assumptions!G69</f>
        <v>0.21</v>
      </c>
      <c r="H5" s="30" t="n">
        <f aca="false">Assumptions!H69</f>
        <v>0.19</v>
      </c>
      <c r="I5" s="30" t="n">
        <f aca="false">Assumptions!I69</f>
        <v>0.17</v>
      </c>
      <c r="J5" s="30" t="n">
        <f aca="false">Assumptions!J69</f>
        <v>0.15</v>
      </c>
      <c r="K5" s="30" t="n">
        <f aca="false">Assumptions!K69</f>
        <v>0.14</v>
      </c>
    </row>
    <row r="6" customFormat="false" ht="15" hidden="false" customHeight="false" outlineLevel="0" collapsed="false">
      <c r="A6" s="9" t="s">
        <v>109</v>
      </c>
      <c r="B6" s="17" t="n">
        <f aca="false">B4*Assumptions!B70</f>
        <v>9.146433</v>
      </c>
      <c r="C6" s="17" t="n">
        <f aca="false">C4*Assumptions!C70</f>
        <v>12.60146586</v>
      </c>
      <c r="D6" s="17" t="n">
        <f aca="false">D4*Assumptions!D70</f>
        <v>16.83072495</v>
      </c>
      <c r="E6" s="17" t="n">
        <f aca="false">E4*Assumptions!E70</f>
        <v>21.94502123814</v>
      </c>
      <c r="F6" s="17" t="n">
        <f aca="false">F4*Assumptions!F70</f>
        <v>27.9186270193272</v>
      </c>
      <c r="G6" s="17" t="n">
        <f aca="false">G4*Assumptions!G70</f>
        <v>34.6367675210666</v>
      </c>
      <c r="H6" s="17" t="n">
        <f aca="false">H4*Assumptions!H70</f>
        <v>42.2354756550092</v>
      </c>
      <c r="I6" s="17" t="n">
        <f aca="false">I4*Assumptions!I70</f>
        <v>50.6062416131406</v>
      </c>
      <c r="J6" s="17" t="n">
        <f aca="false">J4*Assumptions!J70</f>
        <v>59.5665232164084</v>
      </c>
      <c r="K6" s="17" t="n">
        <f aca="false">K4*Assumptions!K70</f>
        <v>69.4668901785838</v>
      </c>
    </row>
    <row r="7" customFormat="false" ht="15" hidden="false" customHeight="false" outlineLevel="0" collapsed="false">
      <c r="A7" s="9" t="s">
        <v>83</v>
      </c>
      <c r="B7" s="21" t="n">
        <f aca="false">B6/B4</f>
        <v>0.355</v>
      </c>
      <c r="C7" s="21" t="n">
        <f aca="false">C6/C4</f>
        <v>0.365</v>
      </c>
      <c r="D7" s="21" t="n">
        <f aca="false">D6/D4</f>
        <v>0.375</v>
      </c>
      <c r="E7" s="21" t="n">
        <f aca="false">E6/E4</f>
        <v>0.385</v>
      </c>
      <c r="F7" s="21" t="n">
        <f aca="false">F6/F4</f>
        <v>0.395</v>
      </c>
      <c r="G7" s="21" t="n">
        <f aca="false">G6/G4</f>
        <v>0.405</v>
      </c>
      <c r="H7" s="21" t="n">
        <f aca="false">H6/H4</f>
        <v>0.415</v>
      </c>
      <c r="I7" s="21" t="n">
        <f aca="false">I6/I4</f>
        <v>0.425</v>
      </c>
      <c r="J7" s="21" t="n">
        <f aca="false">J6/J4</f>
        <v>0.435</v>
      </c>
      <c r="K7" s="21" t="n">
        <f aca="false">K6/K4</f>
        <v>0.445</v>
      </c>
    </row>
    <row r="8" customFormat="false" ht="15" hidden="false" customHeight="false" outlineLevel="0" collapsed="false">
      <c r="A8" s="9" t="s">
        <v>110</v>
      </c>
      <c r="B8" s="17" t="n">
        <f aca="false">B4*Assumptions!B71</f>
        <v>2.189991</v>
      </c>
      <c r="C8" s="17" t="n">
        <f aca="false">C4*Assumptions!C71</f>
        <v>3.10721076</v>
      </c>
      <c r="D8" s="17" t="n">
        <f aca="false">D4*Assumptions!D71</f>
        <v>4.263783654</v>
      </c>
      <c r="E8" s="17" t="n">
        <f aca="false">E4*Assumptions!E71</f>
        <v>5.7000055164</v>
      </c>
      <c r="F8" s="17" t="n">
        <f aca="false">F4*Assumptions!F71</f>
        <v>7.4214071823528</v>
      </c>
      <c r="G8" s="17" t="n">
        <f aca="false">G4*Assumptions!G71</f>
        <v>9.40751710448722</v>
      </c>
      <c r="H8" s="17" t="n">
        <f aca="false">H4*Assumptions!H71</f>
        <v>11.7038065068098</v>
      </c>
      <c r="I8" s="17" t="n">
        <f aca="false">I4*Assumptions!I71</f>
        <v>14.2888211613573</v>
      </c>
      <c r="J8" s="17" t="n">
        <f aca="false">J4*Assumptions!J71</f>
        <v>16.7060134078203</v>
      </c>
      <c r="K8" s="17" t="n">
        <f aca="false">K4*Assumptions!K71</f>
        <v>19.3570660272908</v>
      </c>
    </row>
    <row r="9" customFormat="false" ht="15" hidden="false" customHeight="false" outlineLevel="0" collapsed="false">
      <c r="A9" s="9" t="s">
        <v>111</v>
      </c>
      <c r="B9" s="17" t="n">
        <f aca="false">B6-B8</f>
        <v>6.956442</v>
      </c>
      <c r="C9" s="17" t="n">
        <f aca="false">C6-C8</f>
        <v>9.4942551</v>
      </c>
      <c r="D9" s="17" t="n">
        <f aca="false">D6-D8</f>
        <v>12.566941296</v>
      </c>
      <c r="E9" s="17" t="n">
        <f aca="false">E6-E8</f>
        <v>16.24501572174</v>
      </c>
      <c r="F9" s="17" t="n">
        <f aca="false">F6-F8</f>
        <v>20.4972198369744</v>
      </c>
      <c r="G9" s="17" t="n">
        <f aca="false">G6-G8</f>
        <v>25.2292504165794</v>
      </c>
      <c r="H9" s="17" t="n">
        <f aca="false">H6-H8</f>
        <v>30.5316691481994</v>
      </c>
      <c r="I9" s="17" t="n">
        <f aca="false">I6-I8</f>
        <v>36.3174204517832</v>
      </c>
      <c r="J9" s="17" t="n">
        <f aca="false">J6-J8</f>
        <v>42.8605098085881</v>
      </c>
      <c r="K9" s="17" t="n">
        <f aca="false">K6-K8</f>
        <v>50.1098241512931</v>
      </c>
    </row>
    <row r="10" customFormat="false" ht="15" hidden="false" customHeight="false" outlineLevel="0" collapsed="false">
      <c r="A10" s="9" t="s">
        <v>136</v>
      </c>
      <c r="B10" s="33" t="n">
        <f aca="false">Assumptions!$B$29</f>
        <v>41.3</v>
      </c>
      <c r="C10" s="17" t="n">
        <f aca="false">B14</f>
        <v>34.343558</v>
      </c>
      <c r="D10" s="17" t="n">
        <f aca="false">C14</f>
        <v>24.8493029</v>
      </c>
      <c r="E10" s="17" t="n">
        <f aca="false">D14</f>
        <v>12.282361604</v>
      </c>
      <c r="F10" s="17" t="n">
        <f aca="false">E14</f>
        <v>0</v>
      </c>
      <c r="G10" s="17" t="n">
        <f aca="false">F14</f>
        <v>0</v>
      </c>
      <c r="H10" s="17" t="n">
        <f aca="false">G14</f>
        <v>0</v>
      </c>
      <c r="I10" s="17" t="n">
        <f aca="false">H14</f>
        <v>0</v>
      </c>
      <c r="J10" s="17" t="n">
        <f aca="false">I14</f>
        <v>0</v>
      </c>
      <c r="K10" s="17" t="n">
        <f aca="false">J14</f>
        <v>0</v>
      </c>
    </row>
    <row r="11" customFormat="false" ht="15" hidden="false" customHeight="false" outlineLevel="0" collapsed="false">
      <c r="A11" s="9" t="s">
        <v>137</v>
      </c>
      <c r="B11" s="17" t="n">
        <f aca="false">MIN(B10,MAX(B9,0))</f>
        <v>6.956442</v>
      </c>
      <c r="C11" s="17" t="n">
        <f aca="false">MIN(C10,MAX(C9,0))</f>
        <v>9.4942551</v>
      </c>
      <c r="D11" s="17" t="n">
        <f aca="false">MIN(D10,MAX(D9,0))</f>
        <v>12.566941296</v>
      </c>
      <c r="E11" s="17" t="n">
        <f aca="false">MIN(E10,MAX(E9,0))</f>
        <v>12.282361604</v>
      </c>
      <c r="F11" s="17" t="n">
        <f aca="false">MIN(F10,MAX(F9,0))</f>
        <v>0</v>
      </c>
      <c r="G11" s="17" t="n">
        <f aca="false">MIN(G10,MAX(G9,0))</f>
        <v>0</v>
      </c>
      <c r="H11" s="17" t="n">
        <f aca="false">MIN(H10,MAX(H9,0))</f>
        <v>0</v>
      </c>
      <c r="I11" s="17" t="n">
        <f aca="false">MIN(I10,MAX(I9,0))</f>
        <v>0</v>
      </c>
      <c r="J11" s="17" t="n">
        <f aca="false">MIN(J10,MAX(J9,0))</f>
        <v>0</v>
      </c>
      <c r="K11" s="17" t="n">
        <f aca="false">MIN(K10,MAX(K9,0))</f>
        <v>0</v>
      </c>
    </row>
    <row r="12" customFormat="false" ht="15" hidden="false" customHeight="false" outlineLevel="0" collapsed="false">
      <c r="A12" s="9" t="s">
        <v>138</v>
      </c>
      <c r="B12" s="17" t="n">
        <f aca="false">MAX(B9,0)-B11</f>
        <v>0</v>
      </c>
      <c r="C12" s="17" t="n">
        <f aca="false">MAX(C9,0)-C11</f>
        <v>0</v>
      </c>
      <c r="D12" s="17" t="n">
        <f aca="false">MAX(D9,0)-D11</f>
        <v>0</v>
      </c>
      <c r="E12" s="17" t="n">
        <f aca="false">MAX(E9,0)-E11</f>
        <v>3.96265411774001</v>
      </c>
      <c r="F12" s="17" t="n">
        <f aca="false">MAX(F9,0)-F11</f>
        <v>20.4972198369744</v>
      </c>
      <c r="G12" s="17" t="n">
        <f aca="false">MAX(G9,0)-G11</f>
        <v>25.2292504165794</v>
      </c>
      <c r="H12" s="17" t="n">
        <f aca="false">MAX(H9,0)-H11</f>
        <v>30.5316691481994</v>
      </c>
      <c r="I12" s="17" t="n">
        <f aca="false">MAX(I9,0)-I11</f>
        <v>36.3174204517832</v>
      </c>
      <c r="J12" s="17" t="n">
        <f aca="false">MAX(J9,0)-J11</f>
        <v>42.8605098085881</v>
      </c>
      <c r="K12" s="17" t="n">
        <f aca="false">MAX(K9,0)-K11</f>
        <v>50.1098241512931</v>
      </c>
    </row>
    <row r="13" customFormat="false" ht="15" hidden="false" customHeight="false" outlineLevel="0" collapsed="false">
      <c r="A13" s="9" t="s">
        <v>139</v>
      </c>
      <c r="B13" s="17" t="n">
        <f aca="false">B12*Assumptions!$B$28</f>
        <v>0</v>
      </c>
      <c r="C13" s="17" t="n">
        <f aca="false">C12*Assumptions!$B$28</f>
        <v>0</v>
      </c>
      <c r="D13" s="17" t="n">
        <f aca="false">D12*Assumptions!$B$28</f>
        <v>0</v>
      </c>
      <c r="E13" s="17" t="n">
        <f aca="false">E12*Assumptions!$B$28</f>
        <v>0.832157364725401</v>
      </c>
      <c r="F13" s="17" t="n">
        <f aca="false">F12*Assumptions!$B$28</f>
        <v>4.30441616576462</v>
      </c>
      <c r="G13" s="17" t="n">
        <f aca="false">G12*Assumptions!$B$28</f>
        <v>5.29814258748167</v>
      </c>
      <c r="H13" s="17" t="n">
        <f aca="false">H12*Assumptions!$B$28</f>
        <v>6.41165052112188</v>
      </c>
      <c r="I13" s="17" t="n">
        <f aca="false">I12*Assumptions!$B$28</f>
        <v>7.62665829487448</v>
      </c>
      <c r="J13" s="17" t="n">
        <f aca="false">J12*Assumptions!$B$28</f>
        <v>9.0007070598035</v>
      </c>
      <c r="K13" s="17" t="n">
        <f aca="false">K12*Assumptions!$B$28</f>
        <v>10.5230630717715</v>
      </c>
    </row>
    <row r="14" customFormat="false" ht="15" hidden="false" customHeight="false" outlineLevel="0" collapsed="false">
      <c r="A14" s="9" t="s">
        <v>140</v>
      </c>
      <c r="B14" s="17" t="n">
        <f aca="false">B10-B11</f>
        <v>34.343558</v>
      </c>
      <c r="C14" s="17" t="n">
        <f aca="false">C10-C11</f>
        <v>24.8493029</v>
      </c>
      <c r="D14" s="17" t="n">
        <f aca="false">D10-D11</f>
        <v>12.282361604</v>
      </c>
      <c r="E14" s="17" t="n">
        <f aca="false">E10-E11</f>
        <v>0</v>
      </c>
      <c r="F14" s="17" t="n">
        <f aca="false">F10-F11</f>
        <v>0</v>
      </c>
      <c r="G14" s="17" t="n">
        <f aca="false">G10-G11</f>
        <v>0</v>
      </c>
      <c r="H14" s="17" t="n">
        <f aca="false">H10-H11</f>
        <v>0</v>
      </c>
      <c r="I14" s="17" t="n">
        <f aca="false">I10-I11</f>
        <v>0</v>
      </c>
      <c r="J14" s="17" t="n">
        <f aca="false">J10-J11</f>
        <v>0</v>
      </c>
      <c r="K14" s="17" t="n">
        <f aca="false">K10-K11</f>
        <v>0</v>
      </c>
    </row>
    <row r="15" customFormat="false" ht="15" hidden="false" customHeight="false" outlineLevel="0" collapsed="false">
      <c r="A15" s="9" t="s">
        <v>112</v>
      </c>
      <c r="B15" s="17" t="n">
        <f aca="false">B9-B13</f>
        <v>6.956442</v>
      </c>
      <c r="C15" s="17" t="n">
        <f aca="false">C9-C13</f>
        <v>9.4942551</v>
      </c>
      <c r="D15" s="17" t="n">
        <f aca="false">D9-D13</f>
        <v>12.566941296</v>
      </c>
      <c r="E15" s="17" t="n">
        <f aca="false">E9-E13</f>
        <v>15.4128583570146</v>
      </c>
      <c r="F15" s="17" t="n">
        <f aca="false">F9-F13</f>
        <v>16.1928036712098</v>
      </c>
      <c r="G15" s="17" t="n">
        <f aca="false">G9-G13</f>
        <v>19.9311078290977</v>
      </c>
      <c r="H15" s="17" t="n">
        <f aca="false">H9-H13</f>
        <v>24.1200186270775</v>
      </c>
      <c r="I15" s="17" t="n">
        <f aca="false">I9-I13</f>
        <v>28.6907621569087</v>
      </c>
      <c r="J15" s="17" t="n">
        <f aca="false">J9-J13</f>
        <v>33.8598027487846</v>
      </c>
      <c r="K15" s="17" t="n">
        <f aca="false">K9-K13</f>
        <v>39.5867610795215</v>
      </c>
    </row>
    <row r="16" customFormat="false" ht="15" hidden="false" customHeight="false" outlineLevel="0" collapsed="false">
      <c r="A16" s="9" t="s">
        <v>113</v>
      </c>
      <c r="B16" s="17" t="n">
        <f aca="false">B4*Assumptions!B72</f>
        <v>8.244672</v>
      </c>
      <c r="C16" s="17" t="n">
        <f aca="false">C4*Assumptions!C72</f>
        <v>10.3573692</v>
      </c>
      <c r="D16" s="17" t="n">
        <f aca="false">D4*Assumptions!D72</f>
        <v>12.566941296</v>
      </c>
      <c r="E16" s="17" t="n">
        <f aca="false">E4*Assumptions!E72</f>
        <v>14.82001434264</v>
      </c>
      <c r="F16" s="17" t="n">
        <f aca="false">F4*Assumptions!F72</f>
        <v>16.9632164168064</v>
      </c>
      <c r="G16" s="17" t="n">
        <f aca="false">G4*Assumptions!G72</f>
        <v>18.8150342089744</v>
      </c>
      <c r="H16" s="17" t="n">
        <f aca="false">H4*Assumptions!H72</f>
        <v>20.8633072512696</v>
      </c>
      <c r="I16" s="17" t="n">
        <f aca="false">I4*Assumptions!I72</f>
        <v>22.6239668388158</v>
      </c>
      <c r="J16" s="17" t="n">
        <f aca="false">J4*Assumptions!J72</f>
        <v>23.963543822693</v>
      </c>
      <c r="K16" s="17" t="n">
        <f aca="false">K4*Assumptions!K72</f>
        <v>25.7573862459918</v>
      </c>
    </row>
    <row r="17" customFormat="false" ht="15" hidden="false" customHeight="false" outlineLevel="0" collapsed="false">
      <c r="A17" s="9" t="s">
        <v>114</v>
      </c>
      <c r="B17" s="17" t="n">
        <f aca="false">(B4-Assumptions!$B$53)*Assumptions!$B$32</f>
        <v>0.283784</v>
      </c>
      <c r="C17" s="17" t="n">
        <f aca="false">(C4-B4)*Assumptions!$B$32</f>
        <v>0.35039856</v>
      </c>
      <c r="D17" s="17" t="n">
        <f aca="false">(D4-C4)*Assumptions!$B$32</f>
        <v>0.414294768</v>
      </c>
      <c r="E17" s="17" t="n">
        <f aca="false">(E4-D4)*Assumptions!$B$32</f>
        <v>0.48472487856</v>
      </c>
      <c r="F17" s="17" t="n">
        <f aca="false">(F4-E4)*Assumptions!$B$32</f>
        <v>0.5472005295744</v>
      </c>
      <c r="G17" s="17" t="n">
        <f aca="false">(G4-F4)*Assumptions!$B$32</f>
        <v>0.593712574588224</v>
      </c>
      <c r="H17" s="17" t="n">
        <f aca="false">(H4-G4)*Assumptions!$B$32</f>
        <v>0.649973909037299</v>
      </c>
      <c r="I17" s="17" t="n">
        <f aca="false">(I4-H4)*Assumptions!$B$32</f>
        <v>0.692051167359187</v>
      </c>
      <c r="J17" s="17" t="n">
        <f aca="false">(J4-I4)*Assumptions!$B$32</f>
        <v>0.714441058067866</v>
      </c>
      <c r="K17" s="17" t="n">
        <f aca="false">(K4-J4)*Assumptions!$B$32</f>
        <v>0.766833402326178</v>
      </c>
    </row>
    <row r="18" customFormat="false" ht="15" hidden="false" customHeight="false" outlineLevel="0" collapsed="false">
      <c r="A18" s="22" t="s">
        <v>115</v>
      </c>
      <c r="B18" s="31" t="n">
        <f aca="false">B15+B8-B16-B17</f>
        <v>0.617976999999999</v>
      </c>
      <c r="C18" s="31" t="n">
        <f aca="false">C15+C8-C16-C17</f>
        <v>1.8936981</v>
      </c>
      <c r="D18" s="31" t="n">
        <f aca="false">D15+D8-D16-D17</f>
        <v>3.849488886</v>
      </c>
      <c r="E18" s="31" t="n">
        <f aca="false">E15+E8-E16-E17</f>
        <v>5.8081246522146</v>
      </c>
      <c r="F18" s="31" t="n">
        <f aca="false">F15+F8-F16-F17</f>
        <v>6.10379390718178</v>
      </c>
      <c r="G18" s="31" t="n">
        <f aca="false">G15+G8-G16-G17</f>
        <v>9.92987815002225</v>
      </c>
      <c r="H18" s="31" t="n">
        <f aca="false">H15+H8-H16-H17</f>
        <v>14.3105439735804</v>
      </c>
      <c r="I18" s="31" t="n">
        <f aca="false">I15+I8-I16-I17</f>
        <v>19.6635653120911</v>
      </c>
      <c r="J18" s="31" t="n">
        <f aca="false">J15+J8-J16-J17</f>
        <v>25.887831275844</v>
      </c>
      <c r="K18" s="31" t="n">
        <f aca="false">K15+K8-K16-K17</f>
        <v>32.4196074584944</v>
      </c>
    </row>
    <row r="19" customFormat="false" ht="15" hidden="false" customHeight="false" outlineLevel="0" collapsed="false">
      <c r="A19" s="9" t="s">
        <v>116</v>
      </c>
      <c r="B19" s="32" t="n">
        <v>1</v>
      </c>
      <c r="C19" s="32" t="n">
        <v>2</v>
      </c>
      <c r="D19" s="32" t="n">
        <v>3</v>
      </c>
      <c r="E19" s="32" t="n">
        <v>4</v>
      </c>
      <c r="F19" s="32" t="n">
        <v>5</v>
      </c>
      <c r="G19" s="32" t="n">
        <v>6</v>
      </c>
      <c r="H19" s="32" t="n">
        <v>7</v>
      </c>
      <c r="I19" s="32" t="n">
        <v>8</v>
      </c>
      <c r="J19" s="32" t="n">
        <v>9</v>
      </c>
      <c r="K19" s="32" t="n">
        <v>10</v>
      </c>
    </row>
    <row r="20" customFormat="false" ht="15" hidden="false" customHeight="false" outlineLevel="0" collapsed="false">
      <c r="A20" s="9" t="s">
        <v>117</v>
      </c>
      <c r="B20" s="24" t="n">
        <f aca="false">1/(1+Assumptions!$B$26)^B19</f>
        <v>0.876808417360807</v>
      </c>
      <c r="C20" s="24" t="n">
        <f aca="false">1/(1+Assumptions!$B$26)^C19</f>
        <v>0.768793000754762</v>
      </c>
      <c r="D20" s="24" t="n">
        <f aca="false">1/(1+Assumptions!$B$26)^D19</f>
        <v>0.674084174269849</v>
      </c>
      <c r="E20" s="24" t="n">
        <f aca="false">1/(1+Assumptions!$B$26)^E19</f>
        <v>0.591042678009512</v>
      </c>
      <c r="F20" s="24" t="n">
        <f aca="false">1/(1+Assumptions!$B$26)^F19</f>
        <v>0.518231195098213</v>
      </c>
      <c r="G20" s="24" t="n">
        <f aca="false">1/(1+Assumptions!$B$26)^G19</f>
        <v>0.454389474001064</v>
      </c>
      <c r="H20" s="24" t="n">
        <f aca="false">1/(1+Assumptions!$B$26)^H19</f>
        <v>0.398412515564282</v>
      </c>
      <c r="I20" s="24" t="n">
        <f aca="false">1/(1+Assumptions!$B$26)^I19</f>
        <v>0.349331447228656</v>
      </c>
      <c r="J20" s="24" t="n">
        <f aca="false">1/(1+Assumptions!$B$26)^J19</f>
        <v>0.306296753378918</v>
      </c>
      <c r="K20" s="24" t="n">
        <f aca="false">1/(1+Assumptions!$B$26)^K19</f>
        <v>0.268563571572922</v>
      </c>
    </row>
    <row r="21" customFormat="false" ht="15" hidden="false" customHeight="false" outlineLevel="0" collapsed="false">
      <c r="A21" s="9" t="s">
        <v>118</v>
      </c>
      <c r="B21" s="17" t="n">
        <f aca="false">B18*B20</f>
        <v>0.541847435335378</v>
      </c>
      <c r="C21" s="17" t="n">
        <f aca="false">C18*C20</f>
        <v>1.45586184482259</v>
      </c>
      <c r="D21" s="17" t="n">
        <f aca="false">D18*D20</f>
        <v>2.59487953708027</v>
      </c>
      <c r="E21" s="17" t="n">
        <f aca="false">E18*E20</f>
        <v>3.43284954865798</v>
      </c>
      <c r="F21" s="17" t="n">
        <f aca="false">F18*F20</f>
        <v>3.163176411152</v>
      </c>
      <c r="G21" s="17" t="n">
        <f aca="false">G18*G20</f>
        <v>4.51203210948327</v>
      </c>
      <c r="H21" s="17" t="n">
        <f aca="false">H18*H20</f>
        <v>5.70149982360745</v>
      </c>
      <c r="I21" s="17" t="n">
        <f aca="false">I18*I20</f>
        <v>6.86910172814799</v>
      </c>
      <c r="J21" s="17" t="n">
        <f aca="false">J18*J20</f>
        <v>7.92935867181222</v>
      </c>
      <c r="K21" s="17" t="n">
        <f aca="false">K18*K20</f>
        <v>8.70672556804539</v>
      </c>
    </row>
    <row r="23" customFormat="false" ht="15" hidden="false" customHeight="false" outlineLevel="0" collapsed="false">
      <c r="A23" s="5" t="s">
        <v>119</v>
      </c>
      <c r="B23" s="5"/>
      <c r="C23" s="5"/>
    </row>
    <row r="24" customFormat="false" ht="15" hidden="false" customHeight="false" outlineLevel="0" collapsed="false">
      <c r="A24" s="9" t="s">
        <v>120</v>
      </c>
      <c r="B24" s="17" t="n">
        <f aca="false">SUM(B21:K21)</f>
        <v>44.9073326781446</v>
      </c>
    </row>
    <row r="25" customFormat="false" ht="15" hidden="false" customHeight="false" outlineLevel="0" collapsed="false">
      <c r="A25" s="9" t="s">
        <v>121</v>
      </c>
      <c r="B25" s="17" t="n">
        <f aca="false">K18*(1+Assumptions!$B$31)/(Assumptions!$B$26-Assumptions!$B$31)</f>
        <v>335.486485142628</v>
      </c>
    </row>
    <row r="26" customFormat="false" ht="15" hidden="false" customHeight="false" outlineLevel="0" collapsed="false">
      <c r="A26" s="9" t="s">
        <v>122</v>
      </c>
      <c r="B26" s="17" t="n">
        <f aca="false">B25*K20</f>
        <v>90.0994486643504</v>
      </c>
    </row>
    <row r="27" customFormat="false" ht="15" hidden="false" customHeight="false" outlineLevel="0" collapsed="false">
      <c r="A27" s="9" t="s">
        <v>123</v>
      </c>
      <c r="B27" s="21" t="n">
        <f aca="false">B26/(B24+B26)</f>
        <v>0.667369800008635</v>
      </c>
    </row>
    <row r="28" customFormat="false" ht="15" hidden="false" customHeight="false" outlineLevel="0" collapsed="false">
      <c r="A28" s="22" t="s">
        <v>124</v>
      </c>
      <c r="B28" s="31" t="n">
        <f aca="false">B24+B26</f>
        <v>135.006781342495</v>
      </c>
    </row>
    <row r="29" customFormat="false" ht="15" hidden="false" customHeight="false" outlineLevel="0" collapsed="false">
      <c r="A29" s="9" t="s">
        <v>125</v>
      </c>
      <c r="B29" s="33" t="n">
        <f aca="false">Assumptions!C11</f>
        <v>0</v>
      </c>
    </row>
    <row r="30" customFormat="false" ht="15" hidden="false" customHeight="false" outlineLevel="0" collapsed="false">
      <c r="A30" s="22" t="s">
        <v>126</v>
      </c>
      <c r="B30" s="31" t="n">
        <f aca="false">B28+B29</f>
        <v>135.006781342495</v>
      </c>
    </row>
    <row r="31" customFormat="false" ht="15" hidden="false" customHeight="false" outlineLevel="0" collapsed="false">
      <c r="A31" s="9" t="s">
        <v>141</v>
      </c>
      <c r="B31" s="34" t="n">
        <f aca="false">Assumptions!C7</f>
        <v>12.96</v>
      </c>
    </row>
    <row r="32" customFormat="false" ht="15" hidden="false" customHeight="false" outlineLevel="0" collapsed="false">
      <c r="A32" s="22" t="s">
        <v>128</v>
      </c>
      <c r="B32" s="35" t="n">
        <f aca="false">B30/B31</f>
        <v>10.4171899184024</v>
      </c>
    </row>
    <row r="33" customFormat="false" ht="15" hidden="false" customHeight="false" outlineLevel="0" collapsed="false">
      <c r="A33" s="9" t="s">
        <v>129</v>
      </c>
      <c r="B33" s="36" t="n">
        <f aca="false">Assumptions!C6</f>
        <v>200</v>
      </c>
    </row>
    <row r="34" customFormat="false" ht="15" hidden="false" customHeight="false" outlineLevel="0" collapsed="false">
      <c r="A34" s="22" t="s">
        <v>130</v>
      </c>
      <c r="B34" s="37" t="n">
        <f aca="false">B32/B33-1</f>
        <v>-0.947914050407988</v>
      </c>
    </row>
    <row r="36" customFormat="false" ht="15" hidden="false" customHeight="false" outlineLevel="0" collapsed="false">
      <c r="A36" s="5" t="s">
        <v>131</v>
      </c>
      <c r="B36" s="5"/>
      <c r="C36" s="5"/>
      <c r="D36" s="5"/>
      <c r="E36" s="5"/>
      <c r="F36" s="5"/>
    </row>
    <row r="37" customFormat="false" ht="15" hidden="false" customHeight="false" outlineLevel="0" collapsed="false">
      <c r="A37" s="22" t="s">
        <v>132</v>
      </c>
      <c r="C37" s="38" t="n">
        <v>0.03</v>
      </c>
      <c r="D37" s="38" t="n">
        <v>0.035</v>
      </c>
      <c r="E37" s="38" t="n">
        <v>0.04</v>
      </c>
      <c r="F37" s="38" t="n">
        <v>0.045</v>
      </c>
      <c r="G37" s="38" t="n">
        <v>0.05</v>
      </c>
    </row>
    <row r="38" customFormat="false" ht="15" hidden="false" customHeight="false" outlineLevel="0" collapsed="false">
      <c r="B38" s="39" t="n">
        <v>0.0975</v>
      </c>
      <c r="C38" s="40" t="n">
        <f aca="false">(SUMPRODUCT($B$18:$K$18,(1+$B38)^-($B$19:$K$19))+($K$18*(1+C$37)/($B38-C$37))*(1+$B38)^-10+Assumptions!$C$11)/Assumptions!$C$7</f>
        <v>19.6357672947965</v>
      </c>
      <c r="D38" s="40" t="n">
        <f aca="false">(SUMPRODUCT($B$18:$K$18,(1+$B38)^-($B$19:$K$19))+($K$18*(1+D$37)/($B38-D$37))*(1+$B38)^-10+Assumptions!$C$11)/Assumptions!$C$7</f>
        <v>20.9191264243705</v>
      </c>
      <c r="E38" s="40" t="n">
        <f aca="false">(SUMPRODUCT($B$18:$K$18,(1+$B38)^-($B$19:$K$19))+($K$18*(1+E$37)/($B38-E$37))*(1+$B38)^-10+Assumptions!$C$11)/Assumptions!$C$7</f>
        <v>22.4256784460443</v>
      </c>
      <c r="F38" s="40" t="n">
        <f aca="false">(SUMPRODUCT($B$18:$K$18,(1+$B38)^-($B$19:$K$19))+($K$18*(1+F$37)/($B38-F$37))*(1+$B38)^-10+Assumptions!$C$11)/Assumptions!$C$7</f>
        <v>24.2191927575608</v>
      </c>
      <c r="G38" s="40" t="n">
        <f aca="false">(SUMPRODUCT($B$18:$K$18,(1+$B38)^-($B$19:$K$19))+($K$18*(1+G$37)/($B38-G$37))*(1+$B38)^-10+Assumptions!$C$11)/Assumptions!$C$7</f>
        <v>26.3902890293964</v>
      </c>
    </row>
    <row r="39" customFormat="false" ht="15" hidden="false" customHeight="false" outlineLevel="0" collapsed="false">
      <c r="B39" s="39" t="n">
        <v>0.108</v>
      </c>
      <c r="C39" s="40" t="n">
        <f aca="false">(SUMPRODUCT($B$18:$K$18,(1+$B39)^-($B$19:$K$19))+($K$18*(1+C$37)/($B39-C$37))*(1+$B39)^-10+Assumptions!$C$11)/Assumptions!$C$7</f>
        <v>16.116479047312</v>
      </c>
      <c r="D39" s="40" t="n">
        <f aca="false">(SUMPRODUCT($B$18:$K$18,(1+$B39)^-($B$19:$K$19))+($K$18*(1+D$37)/($B39-D$37))*(1+$B39)^-10+Assumptions!$C$11)/Assumptions!$C$7</f>
        <v>16.9892443022033</v>
      </c>
      <c r="E39" s="40" t="n">
        <f aca="false">(SUMPRODUCT($B$18:$K$18,(1+$B39)^-($B$19:$K$19))+($K$18*(1+E$37)/($B39-E$37))*(1+$B39)^-10+Assumptions!$C$11)/Assumptions!$C$7</f>
        <v>17.9903573886963</v>
      </c>
      <c r="F39" s="40" t="n">
        <f aca="false">(SUMPRODUCT($B$18:$K$18,(1+$B39)^-($B$19:$K$19))+($K$18*(1+F$37)/($B39-F$37))*(1+$B39)^-10+Assumptions!$C$11)/Assumptions!$C$7</f>
        <v>19.1503773143151</v>
      </c>
      <c r="G39" s="40" t="n">
        <f aca="false">(SUMPRODUCT($B$18:$K$18,(1+$B39)^-($B$19:$K$19))+($K$18*(1+G$37)/($B39-G$37))*(1+$B39)^-10+Assumptions!$C$11)/Assumptions!$C$7</f>
        <v>20.5104006753855</v>
      </c>
    </row>
    <row r="40" customFormat="false" ht="15" hidden="false" customHeight="false" outlineLevel="0" collapsed="false">
      <c r="B40" s="39" t="n">
        <v>0.1188</v>
      </c>
      <c r="C40" s="40" t="n">
        <f aca="false">(SUMPRODUCT($B$18:$K$18,(1+$B40)^-($B$19:$K$19))+($K$18*(1+C$37)/($B40-C$37))*(1+$B40)^-10+Assumptions!$C$11)/Assumptions!$C$7</f>
        <v>13.4224171880174</v>
      </c>
      <c r="D40" s="40" t="n">
        <f aca="false">(SUMPRODUCT($B$18:$K$18,(1+$B40)^-($B$19:$K$19))+($K$18*(1+D$37)/($B40-D$37))*(1+$B40)^-10+Assumptions!$C$11)/Assumptions!$C$7</f>
        <v>14.0344062373512</v>
      </c>
      <c r="E40" s="40" t="n">
        <f aca="false">(SUMPRODUCT($B$18:$K$18,(1+$B40)^-($B$19:$K$19))+($K$18*(1+E$37)/($B40-E$37))*(1+$B40)^-10+Assumptions!$C$11)/Assumptions!$C$7</f>
        <v>14.7240588716259</v>
      </c>
      <c r="F40" s="40" t="n">
        <f aca="false">(SUMPRODUCT($B$18:$K$18,(1+$B40)^-($B$19:$K$19))+($K$18*(1+F$37)/($B40-F$37))*(1+$B40)^-10+Assumptions!$C$11)/Assumptions!$C$7</f>
        <v>15.5071603723334</v>
      </c>
      <c r="G40" s="40" t="n">
        <f aca="false">(SUMPRODUCT($B$18:$K$18,(1+$B40)^-($B$19:$K$19))+($K$18*(1+G$37)/($B40-G$37))*(1+$B40)^-10+Assumptions!$C$11)/Assumptions!$C$7</f>
        <v>16.4040847655856</v>
      </c>
    </row>
    <row r="41" customFormat="false" ht="15" hidden="false" customHeight="false" outlineLevel="0" collapsed="false">
      <c r="B41" s="39" t="n">
        <v>0.13</v>
      </c>
      <c r="C41" s="40" t="n">
        <f aca="false">(SUMPRODUCT($B$18:$K$18,(1+$B41)^-($B$19:$K$19))+($K$18*(1+C$37)/($B41-C$37))*(1+$B41)^-10+Assumptions!$C$11)/Assumptions!$C$7</f>
        <v>11.2931760155992</v>
      </c>
      <c r="D41" s="40" t="n">
        <f aca="false">(SUMPRODUCT($B$18:$K$18,(1+$B41)^-($B$19:$K$19))+($K$18*(1+D$37)/($B41-D$37))*(1+$B41)^-10+Assumptions!$C$11)/Assumptions!$C$7</f>
        <v>11.7314474429525</v>
      </c>
      <c r="E41" s="40" t="n">
        <f aca="false">(SUMPRODUCT($B$18:$K$18,(1+$B41)^-($B$19:$K$19))+($K$18*(1+E$37)/($B41-E$37))*(1+$B41)^-10+Assumptions!$C$11)/Assumptions!$C$7</f>
        <v>12.2184156955672</v>
      </c>
      <c r="F41" s="40" t="n">
        <f aca="false">(SUMPRODUCT($B$18:$K$18,(1+$B41)^-($B$19:$K$19))+($K$18*(1+F$37)/($B41-F$37))*(1+$B41)^-10+Assumptions!$C$11)/Assumptions!$C$7</f>
        <v>12.7626743308426</v>
      </c>
      <c r="G41" s="40" t="n">
        <f aca="false">(SUMPRODUCT($B$18:$K$18,(1+$B41)^-($B$19:$K$19))+($K$18*(1+G$37)/($B41-G$37))*(1+$B41)^-10+Assumptions!$C$11)/Assumptions!$C$7</f>
        <v>13.3749652955273</v>
      </c>
    </row>
    <row r="42" customFormat="false" ht="15" hidden="false" customHeight="false" outlineLevel="0" collapsed="false">
      <c r="B42" s="39" t="n">
        <v>0.14</v>
      </c>
      <c r="C42" s="40" t="n">
        <f aca="false">(SUMPRODUCT($B$18:$K$18,(1+$B42)^-($B$19:$K$19))+($K$18*(1+C$37)/($B42-C$37))*(1+$B42)^-10+Assumptions!$C$11)/Assumptions!$C$7</f>
        <v>9.79423579869289</v>
      </c>
      <c r="D42" s="40" t="n">
        <f aca="false">(SUMPRODUCT($B$18:$K$18,(1+$B42)^-($B$19:$K$19))+($K$18*(1+D$37)/($B42-D$37))*(1+$B42)^-10+Assumptions!$C$11)/Assumptions!$C$7</f>
        <v>10.1272380031988</v>
      </c>
      <c r="E42" s="40" t="n">
        <f aca="false">(SUMPRODUCT($B$18:$K$18,(1+$B42)^-($B$19:$K$19))+($K$18*(1+E$37)/($B42-E$37))*(1+$B42)^-10+Assumptions!$C$11)/Assumptions!$C$7</f>
        <v>10.4935404281553</v>
      </c>
      <c r="F42" s="40" t="n">
        <f aca="false">(SUMPRODUCT($B$18:$K$18,(1+$B42)^-($B$19:$K$19))+($K$18*(1+F$37)/($B42-F$37))*(1+$B42)^-10+Assumptions!$C$11)/Assumptions!$C$7</f>
        <v>10.8984010031072</v>
      </c>
      <c r="G42" s="40" t="n">
        <f aca="false">(SUMPRODUCT($B$18:$K$18,(1+$B42)^-($B$19:$K$19))+($K$18*(1+G$37)/($B42-G$37))*(1+$B42)^-10+Assumptions!$C$11)/Assumptions!$C$7</f>
        <v>11.3482460863871</v>
      </c>
    </row>
    <row r="44" customFormat="false" ht="15" hidden="false" customHeight="false" outlineLevel="0" collapsed="false">
      <c r="A44" s="11" t="s">
        <v>142</v>
      </c>
    </row>
  </sheetData>
  <mergeCells count="3">
    <mergeCell ref="A1:K1"/>
    <mergeCell ref="A23:C23"/>
    <mergeCell ref="A36:F36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5" min="2" style="0" width="16"/>
  </cols>
  <sheetData>
    <row r="1" customFormat="false" ht="21.75" hidden="false" customHeight="true" outlineLevel="0" collapsed="false">
      <c r="A1" s="1" t="s">
        <v>143</v>
      </c>
      <c r="B1" s="1"/>
      <c r="C1" s="1"/>
      <c r="D1" s="1"/>
      <c r="E1" s="1"/>
    </row>
    <row r="3" customFormat="false" ht="15" hidden="false" customHeight="false" outlineLevel="0" collapsed="false">
      <c r="A3" s="5" t="s">
        <v>144</v>
      </c>
      <c r="B3" s="5"/>
      <c r="C3" s="5"/>
      <c r="D3" s="5"/>
      <c r="E3" s="5"/>
    </row>
    <row r="4" customFormat="false" ht="15" hidden="false" customHeight="false" outlineLevel="0" collapsed="false">
      <c r="A4" s="9" t="s">
        <v>145</v>
      </c>
      <c r="B4" s="33" t="n">
        <f aca="false">Assumptions!B41</f>
        <v>14.6</v>
      </c>
    </row>
    <row r="5" customFormat="false" ht="15" hidden="false" customHeight="false" outlineLevel="0" collapsed="false">
      <c r="A5" s="9" t="s">
        <v>146</v>
      </c>
      <c r="B5" s="33" t="n">
        <f aca="false">Assumptions!B8+Assumptions!B9-Assumptions!B10</f>
        <v>1499.3268</v>
      </c>
    </row>
    <row r="7" customFormat="false" ht="22.35" hidden="false" customHeight="false" outlineLevel="0" collapsed="false">
      <c r="A7" s="7" t="s">
        <v>147</v>
      </c>
      <c r="B7" s="8" t="s">
        <v>148</v>
      </c>
      <c r="C7" s="8" t="s">
        <v>149</v>
      </c>
      <c r="D7" s="8" t="s">
        <v>150</v>
      </c>
    </row>
    <row r="8" customFormat="false" ht="15" hidden="false" customHeight="false" outlineLevel="0" collapsed="false">
      <c r="A8" s="9" t="s">
        <v>151</v>
      </c>
      <c r="B8" s="33" t="n">
        <f aca="false">Assumptions!B88*$B$4</f>
        <v>131.4</v>
      </c>
      <c r="C8" s="17" t="n">
        <f aca="false">$B$5-B8</f>
        <v>1367.9268</v>
      </c>
      <c r="D8" s="21" t="n">
        <f aca="false">C8/$B$5</f>
        <v>0.912360667467559</v>
      </c>
    </row>
    <row r="9" customFormat="false" ht="15" hidden="false" customHeight="false" outlineLevel="0" collapsed="false">
      <c r="A9" s="9" t="s">
        <v>152</v>
      </c>
      <c r="B9" s="33" t="n">
        <f aca="false">Assumptions!B89*$B$4</f>
        <v>160.6</v>
      </c>
      <c r="C9" s="17" t="n">
        <f aca="false">$B$5-B9</f>
        <v>1338.7268</v>
      </c>
      <c r="D9" s="21" t="n">
        <f aca="false">C9/$B$5</f>
        <v>0.892885260238128</v>
      </c>
    </row>
    <row r="10" customFormat="false" ht="15" hidden="false" customHeight="false" outlineLevel="0" collapsed="false">
      <c r="A10" s="9" t="s">
        <v>153</v>
      </c>
      <c r="B10" s="33" t="n">
        <f aca="false">Assumptions!B90*$B$4</f>
        <v>189.8</v>
      </c>
      <c r="C10" s="17" t="n">
        <f aca="false">$B$5-B10</f>
        <v>1309.5268</v>
      </c>
      <c r="D10" s="21" t="n">
        <f aca="false">C10/$B$5</f>
        <v>0.873409853008697</v>
      </c>
    </row>
    <row r="12" customFormat="false" ht="15" hidden="false" customHeight="false" outlineLevel="0" collapsed="false">
      <c r="A12" s="11" t="s">
        <v>154</v>
      </c>
    </row>
    <row r="14" customFormat="false" ht="15" hidden="false" customHeight="false" outlineLevel="0" collapsed="false">
      <c r="A14" s="5" t="s">
        <v>155</v>
      </c>
      <c r="B14" s="5"/>
      <c r="C14" s="5"/>
      <c r="D14" s="5"/>
      <c r="E14" s="5"/>
    </row>
    <row r="15" customFormat="false" ht="15" hidden="false" customHeight="false" outlineLevel="0" collapsed="false">
      <c r="A15" s="9" t="s">
        <v>156</v>
      </c>
      <c r="B15" s="33" t="n">
        <f aca="false">Assumptions!B49*Assumptions!B76</f>
        <v>7.182</v>
      </c>
    </row>
    <row r="16" customFormat="false" ht="15" hidden="false" customHeight="false" outlineLevel="0" collapsed="false">
      <c r="A16" s="9" t="s">
        <v>157</v>
      </c>
      <c r="B16" s="33" t="n">
        <f aca="false">Assumptions!B52*Assumptions!B77</f>
        <v>1.148</v>
      </c>
    </row>
    <row r="17" customFormat="false" ht="15" hidden="false" customHeight="false" outlineLevel="0" collapsed="false">
      <c r="A17" s="9" t="s">
        <v>158</v>
      </c>
      <c r="B17" s="33" t="n">
        <f aca="false">Assumptions!B85</f>
        <v>1</v>
      </c>
    </row>
    <row r="19" customFormat="false" ht="15" hidden="false" customHeight="false" outlineLevel="0" collapsed="false">
      <c r="A19" s="7" t="s">
        <v>159</v>
      </c>
      <c r="B19" s="8" t="s">
        <v>160</v>
      </c>
      <c r="C19" s="8" t="s">
        <v>161</v>
      </c>
      <c r="D19" s="7" t="s">
        <v>162</v>
      </c>
    </row>
    <row r="20" customFormat="false" ht="15" hidden="false" customHeight="false" outlineLevel="0" collapsed="false">
      <c r="A20" s="9" t="s">
        <v>163</v>
      </c>
      <c r="B20" s="17" t="n">
        <f aca="false">$B$15*Assumptions!B78</f>
        <v>129.276</v>
      </c>
      <c r="C20" s="17" t="n">
        <f aca="false">$B$15*Assumptions!B79</f>
        <v>186.732</v>
      </c>
      <c r="D20" s="11" t="s">
        <v>164</v>
      </c>
    </row>
    <row r="21" customFormat="false" ht="15" hidden="false" customHeight="false" outlineLevel="0" collapsed="false">
      <c r="A21" s="9" t="s">
        <v>165</v>
      </c>
      <c r="B21" s="17" t="n">
        <f aca="false">$B$16*Assumptions!B80</f>
        <v>11.48</v>
      </c>
      <c r="C21" s="17" t="n">
        <f aca="false">$B$16*Assumptions!B81</f>
        <v>17.22</v>
      </c>
      <c r="D21" s="11" t="s">
        <v>166</v>
      </c>
    </row>
    <row r="22" customFormat="false" ht="15" hidden="false" customHeight="false" outlineLevel="0" collapsed="false">
      <c r="A22" s="9" t="s">
        <v>167</v>
      </c>
      <c r="B22" s="17" t="n">
        <f aca="false">$B$17*Assumptions!B84*Assumptions!B86</f>
        <v>10.224</v>
      </c>
      <c r="C22" s="17" t="n">
        <f aca="false">$B$17*Assumptions!B84*Assumptions!B87</f>
        <v>20.448</v>
      </c>
      <c r="D22" s="11" t="s">
        <v>168</v>
      </c>
    </row>
    <row r="23" customFormat="false" ht="15" hidden="false" customHeight="false" outlineLevel="0" collapsed="false">
      <c r="A23" s="22" t="s">
        <v>169</v>
      </c>
      <c r="B23" s="31" t="n">
        <f aca="false">SUM(B20:B22)</f>
        <v>150.98</v>
      </c>
      <c r="C23" s="31" t="n">
        <f aca="false">SUM(C20:C22)</f>
        <v>224.4</v>
      </c>
    </row>
    <row r="24" customFormat="false" ht="15" hidden="false" customHeight="false" outlineLevel="0" collapsed="false">
      <c r="A24" s="22" t="s">
        <v>128</v>
      </c>
      <c r="B24" s="41" t="n">
        <f aca="false">B23/Assumptions!C7</f>
        <v>11.6496913580247</v>
      </c>
      <c r="C24" s="41" t="n">
        <f aca="false">C23/Assumptions!C7</f>
        <v>17.3148148148148</v>
      </c>
    </row>
    <row r="25" customFormat="false" ht="15" hidden="false" customHeight="false" outlineLevel="0" collapsed="false">
      <c r="A25" s="9" t="s">
        <v>170</v>
      </c>
      <c r="B25" s="36" t="n">
        <f aca="false">Assumptions!C6</f>
        <v>200</v>
      </c>
    </row>
    <row r="26" customFormat="false" ht="15" hidden="false" customHeight="false" outlineLevel="0" collapsed="false">
      <c r="A26" s="11" t="s">
        <v>171</v>
      </c>
    </row>
  </sheetData>
  <mergeCells count="3">
    <mergeCell ref="A1:E1"/>
    <mergeCell ref="A3:E3"/>
    <mergeCell ref="A14:E14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1" min="2" style="0" width="13"/>
  </cols>
  <sheetData>
    <row r="1" customFormat="false" ht="21.75" hidden="false" customHeight="true" outlineLevel="0" collapsed="false">
      <c r="A1" s="1" t="s">
        <v>172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4" t="s">
        <v>173</v>
      </c>
    </row>
    <row r="4" customFormat="false" ht="15" hidden="false" customHeight="false" outlineLevel="0" collapsed="false">
      <c r="A4" s="5" t="s">
        <v>174</v>
      </c>
      <c r="B4" s="5"/>
      <c r="C4" s="5"/>
      <c r="D4" s="5"/>
    </row>
    <row r="5" customFormat="false" ht="32.8" hidden="false" customHeight="false" outlineLevel="0" collapsed="false">
      <c r="A5" s="7" t="s">
        <v>175</v>
      </c>
      <c r="B5" s="8" t="s">
        <v>176</v>
      </c>
      <c r="C5" s="8" t="s">
        <v>177</v>
      </c>
      <c r="D5" s="8" t="s">
        <v>178</v>
      </c>
    </row>
    <row r="6" customFormat="false" ht="15" hidden="false" customHeight="false" outlineLevel="0" collapsed="false">
      <c r="A6" s="26" t="n">
        <v>0.3</v>
      </c>
      <c r="B6" s="17" t="n">
        <f aca="false">A6*Assumptions!$C$7</f>
        <v>3.888</v>
      </c>
      <c r="C6" s="17" t="n">
        <f aca="false">Assumptions!$B$7+B6</f>
        <v>7.648</v>
      </c>
      <c r="D6" s="21" t="n">
        <f aca="false">B6/C6</f>
        <v>0.50836820083682</v>
      </c>
    </row>
    <row r="7" customFormat="false" ht="15" hidden="false" customHeight="false" outlineLevel="0" collapsed="false">
      <c r="A7" s="26" t="n">
        <v>0.5</v>
      </c>
      <c r="B7" s="17" t="n">
        <f aca="false">A7*Assumptions!$C$7</f>
        <v>6.48</v>
      </c>
      <c r="C7" s="17" t="n">
        <f aca="false">Assumptions!$B$7+B7</f>
        <v>10.24</v>
      </c>
      <c r="D7" s="21" t="n">
        <f aca="false">B7/C7</f>
        <v>0.6328125</v>
      </c>
    </row>
    <row r="8" customFormat="false" ht="15" hidden="false" customHeight="false" outlineLevel="0" collapsed="false">
      <c r="A8" s="26" t="n">
        <v>0.7</v>
      </c>
      <c r="B8" s="17" t="n">
        <f aca="false">A8*Assumptions!$C$7</f>
        <v>9.072</v>
      </c>
      <c r="C8" s="17" t="n">
        <f aca="false">Assumptions!$B$7+B8</f>
        <v>12.832</v>
      </c>
      <c r="D8" s="21" t="n">
        <f aca="false">B8/C8</f>
        <v>0.706982543640898</v>
      </c>
    </row>
    <row r="10" customFormat="false" ht="15" hidden="false" customHeight="false" outlineLevel="0" collapsed="false">
      <c r="A10" s="5" t="s">
        <v>179</v>
      </c>
      <c r="B10" s="5"/>
      <c r="C10" s="5"/>
      <c r="D10" s="5"/>
      <c r="E10" s="5"/>
      <c r="F10" s="5"/>
      <c r="G10" s="5"/>
      <c r="H10" s="5"/>
      <c r="I10" s="5"/>
    </row>
    <row r="11" customFormat="false" ht="32.8" hidden="false" customHeight="false" outlineLevel="0" collapsed="false">
      <c r="A11" s="7" t="s">
        <v>180</v>
      </c>
      <c r="B11" s="8" t="s">
        <v>181</v>
      </c>
      <c r="C11" s="8" t="s">
        <v>182</v>
      </c>
      <c r="D11" s="8" t="s">
        <v>183</v>
      </c>
      <c r="E11" s="8" t="s">
        <v>184</v>
      </c>
      <c r="F11" s="8" t="s">
        <v>185</v>
      </c>
      <c r="G11" s="8" t="s">
        <v>186</v>
      </c>
      <c r="H11" s="8" t="s">
        <v>187</v>
      </c>
      <c r="I11" s="8" t="s">
        <v>188</v>
      </c>
      <c r="J11" s="8" t="s">
        <v>189</v>
      </c>
    </row>
    <row r="12" customFormat="false" ht="15" hidden="false" customHeight="false" outlineLevel="0" collapsed="false">
      <c r="A12" s="26" t="n">
        <v>0.3</v>
      </c>
      <c r="B12" s="17" t="n">
        <f aca="false">Assumptions!$B$43+Assumptions!$B$56</f>
        <v>-1.11</v>
      </c>
      <c r="C12" s="17" t="n">
        <f aca="false">C6</f>
        <v>7.648</v>
      </c>
      <c r="D12" s="40" t="n">
        <f aca="false">B12/C12</f>
        <v>-0.145135983263598</v>
      </c>
      <c r="E12" s="21" t="n">
        <f aca="false">D12/Assumptions!$B$44-1</f>
        <v>-1.13438516968852</v>
      </c>
      <c r="F12" s="17" t="n">
        <f aca="false">Assumptions!$B$41+Assumptions!$B$54</f>
        <v>21.18</v>
      </c>
      <c r="G12" s="40" t="n">
        <f aca="false">F12/C12</f>
        <v>2.76935146443515</v>
      </c>
      <c r="H12" s="21" t="n">
        <f aca="false">G12/(Assumptions!$B$41/Assumptions!$B$7)-1</f>
        <v>-0.286797157104373</v>
      </c>
      <c r="I12" s="40" t="n">
        <f aca="false">A12*Assumptions!$B$6</f>
        <v>121.929</v>
      </c>
      <c r="J12" s="21" t="n">
        <f aca="false">I12/Assumptions!$C$6-1</f>
        <v>-0.390355</v>
      </c>
    </row>
    <row r="13" customFormat="false" ht="15" hidden="false" customHeight="false" outlineLevel="0" collapsed="false">
      <c r="A13" s="26" t="n">
        <v>0.5</v>
      </c>
      <c r="B13" s="17" t="n">
        <f aca="false">Assumptions!$B$43+Assumptions!$B$56</f>
        <v>-1.11</v>
      </c>
      <c r="C13" s="17" t="n">
        <f aca="false">C7</f>
        <v>10.24</v>
      </c>
      <c r="D13" s="40" t="n">
        <f aca="false">B13/C13</f>
        <v>-0.1083984375</v>
      </c>
      <c r="E13" s="21" t="n">
        <f aca="false">D13/Assumptions!$B$44-1</f>
        <v>-1.10036892361111</v>
      </c>
      <c r="F13" s="17" t="n">
        <f aca="false">Assumptions!$B$41+Assumptions!$B$54</f>
        <v>21.18</v>
      </c>
      <c r="G13" s="40" t="n">
        <f aca="false">F13/C13</f>
        <v>2.068359375</v>
      </c>
      <c r="H13" s="21" t="n">
        <f aca="false">G13/(Assumptions!$B$41/Assumptions!$B$7)-1</f>
        <v>-0.467326626712329</v>
      </c>
      <c r="I13" s="40" t="n">
        <f aca="false">A13*Assumptions!$B$6</f>
        <v>203.215</v>
      </c>
      <c r="J13" s="21" t="n">
        <f aca="false">I13/Assumptions!$C$6-1</f>
        <v>0.0160750000000001</v>
      </c>
    </row>
    <row r="14" customFormat="false" ht="15" hidden="false" customHeight="false" outlineLevel="0" collapsed="false">
      <c r="A14" s="26" t="n">
        <v>0.7</v>
      </c>
      <c r="B14" s="17" t="n">
        <f aca="false">Assumptions!$B$43+Assumptions!$B$56</f>
        <v>-1.11</v>
      </c>
      <c r="C14" s="17" t="n">
        <f aca="false">C8</f>
        <v>12.832</v>
      </c>
      <c r="D14" s="40" t="n">
        <f aca="false">B14/C14</f>
        <v>-0.0865024937655861</v>
      </c>
      <c r="E14" s="21" t="n">
        <f aca="false">D14/Assumptions!$B$44-1</f>
        <v>-1.0800949016348</v>
      </c>
      <c r="F14" s="17" t="n">
        <f aca="false">Assumptions!$B$41+Assumptions!$B$54</f>
        <v>21.18</v>
      </c>
      <c r="G14" s="40" t="n">
        <f aca="false">F14/C14</f>
        <v>1.65056109725686</v>
      </c>
      <c r="H14" s="21" t="n">
        <f aca="false">G14/(Assumptions!$B$41/Assumptions!$B$7)-1</f>
        <v>-0.574923991391385</v>
      </c>
      <c r="I14" s="40" t="n">
        <f aca="false">A14*Assumptions!$B$6</f>
        <v>284.501</v>
      </c>
      <c r="J14" s="21" t="n">
        <f aca="false">I14/Assumptions!$C$6-1</f>
        <v>0.422505</v>
      </c>
    </row>
    <row r="16" customFormat="false" ht="15" hidden="false" customHeight="false" outlineLevel="0" collapsed="false">
      <c r="A16" s="5" t="s">
        <v>190</v>
      </c>
      <c r="B16" s="5"/>
      <c r="C16" s="5"/>
      <c r="D16" s="5"/>
    </row>
    <row r="17" customFormat="false" ht="15" hidden="false" customHeight="false" outlineLevel="0" collapsed="false">
      <c r="A17" s="9" t="s">
        <v>191</v>
      </c>
      <c r="B17" s="17" t="n">
        <f aca="false">F12</f>
        <v>21.18</v>
      </c>
    </row>
    <row r="18" customFormat="false" ht="15" hidden="false" customHeight="false" outlineLevel="0" collapsed="false">
      <c r="A18" s="9" t="s">
        <v>192</v>
      </c>
      <c r="B18" s="40" t="n">
        <f aca="false">Assumptions!$B$41/Assumptions!$B$7</f>
        <v>3.88297872340426</v>
      </c>
    </row>
    <row r="19" customFormat="false" ht="15" hidden="false" customHeight="false" outlineLevel="0" collapsed="false">
      <c r="A19" s="22" t="s">
        <v>193</v>
      </c>
      <c r="B19" s="42" t="n">
        <f aca="false">(B17/B18-Assumptions!$B$7)/Assumptions!$C$7</f>
        <v>0.130754270251987</v>
      </c>
    </row>
    <row r="20" customFormat="false" ht="15" hidden="false" customHeight="false" outlineLevel="0" collapsed="false">
      <c r="A20" s="9" t="s">
        <v>194</v>
      </c>
      <c r="B20" s="40" t="n">
        <f aca="false">B19*Assumptions!$B$6</f>
        <v>53.1424580585151</v>
      </c>
    </row>
    <row r="21" customFormat="false" ht="15" hidden="false" customHeight="false" outlineLevel="0" collapsed="false">
      <c r="A21" s="9" t="s">
        <v>195</v>
      </c>
      <c r="B21" s="40" t="n">
        <f aca="false">B18*C12-F12</f>
        <v>8.51702127659575</v>
      </c>
    </row>
    <row r="22" customFormat="false" ht="15" hidden="false" customHeight="false" outlineLevel="0" collapsed="false">
      <c r="A22" s="9" t="s">
        <v>196</v>
      </c>
      <c r="B22" s="40" t="n">
        <f aca="false">B18*C13-F12</f>
        <v>18.5817021276596</v>
      </c>
    </row>
    <row r="23" customFormat="false" ht="15" hidden="false" customHeight="false" outlineLevel="0" collapsed="false">
      <c r="A23" s="11" t="s">
        <v>197</v>
      </c>
    </row>
  </sheetData>
  <mergeCells count="4">
    <mergeCell ref="A1:I1"/>
    <mergeCell ref="A4:D4"/>
    <mergeCell ref="A10:I10"/>
    <mergeCell ref="A16:D16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4"/>
  </cols>
  <sheetData>
    <row r="1" customFormat="false" ht="21.75" hidden="false" customHeight="true" outlineLevel="0" collapsed="false">
      <c r="A1" s="1" t="s">
        <v>198</v>
      </c>
      <c r="B1" s="1"/>
      <c r="C1" s="1"/>
      <c r="D1" s="1"/>
    </row>
    <row r="2" customFormat="false" ht="15" hidden="false" customHeight="false" outlineLevel="0" collapsed="false">
      <c r="A2" s="4" t="s">
        <v>199</v>
      </c>
    </row>
    <row r="4" customFormat="false" ht="15" hidden="false" customHeight="false" outlineLevel="0" collapsed="false">
      <c r="A4" s="7" t="s">
        <v>200</v>
      </c>
      <c r="B4" s="8" t="s">
        <v>201</v>
      </c>
      <c r="C4" s="8" t="s">
        <v>202</v>
      </c>
      <c r="D4" s="8" t="s">
        <v>203</v>
      </c>
    </row>
    <row r="5" customFormat="false" ht="15" hidden="false" customHeight="false" outlineLevel="0" collapsed="false">
      <c r="A5" s="22" t="s">
        <v>204</v>
      </c>
    </row>
    <row r="6" customFormat="false" ht="15" hidden="false" customHeight="false" outlineLevel="0" collapsed="false">
      <c r="A6" s="43" t="s">
        <v>205</v>
      </c>
      <c r="B6" s="15" t="n">
        <v>0</v>
      </c>
      <c r="C6" s="15" t="n">
        <v>0.35</v>
      </c>
      <c r="D6" s="15" t="n">
        <v>1.2</v>
      </c>
    </row>
    <row r="7" customFormat="false" ht="15" hidden="false" customHeight="false" outlineLevel="0" collapsed="false">
      <c r="A7" s="43" t="s">
        <v>206</v>
      </c>
      <c r="B7" s="15" t="n">
        <v>0</v>
      </c>
      <c r="C7" s="15" t="n">
        <v>0.5</v>
      </c>
      <c r="D7" s="15" t="n">
        <v>1.8</v>
      </c>
    </row>
    <row r="8" customFormat="false" ht="15" hidden="false" customHeight="false" outlineLevel="0" collapsed="false">
      <c r="A8" s="43" t="s">
        <v>207</v>
      </c>
      <c r="B8" s="15" t="n">
        <v>0</v>
      </c>
      <c r="C8" s="15" t="n">
        <v>0.25</v>
      </c>
      <c r="D8" s="15" t="n">
        <v>0.9</v>
      </c>
    </row>
    <row r="9" customFormat="false" ht="15" hidden="false" customHeight="false" outlineLevel="0" collapsed="false">
      <c r="A9" s="22" t="s">
        <v>208</v>
      </c>
    </row>
    <row r="10" customFormat="false" ht="15" hidden="false" customHeight="false" outlineLevel="0" collapsed="false">
      <c r="A10" s="43" t="s">
        <v>209</v>
      </c>
      <c r="B10" s="15" t="n">
        <v>0.05</v>
      </c>
      <c r="C10" s="15" t="n">
        <v>0.12</v>
      </c>
      <c r="D10" s="15" t="n">
        <v>0.2</v>
      </c>
    </row>
    <row r="11" customFormat="false" ht="15" hidden="false" customHeight="false" outlineLevel="0" collapsed="false">
      <c r="A11" s="43" t="s">
        <v>210</v>
      </c>
      <c r="B11" s="15" t="n">
        <v>0.1</v>
      </c>
      <c r="C11" s="15" t="n">
        <v>0.4</v>
      </c>
      <c r="D11" s="15" t="n">
        <v>0.9</v>
      </c>
    </row>
    <row r="12" customFormat="false" ht="15" hidden="false" customHeight="false" outlineLevel="0" collapsed="false">
      <c r="A12" s="43" t="s">
        <v>211</v>
      </c>
      <c r="B12" s="15" t="n">
        <v>0</v>
      </c>
      <c r="C12" s="15" t="n">
        <v>0.9</v>
      </c>
      <c r="D12" s="15" t="n">
        <v>2.5</v>
      </c>
    </row>
    <row r="13" customFormat="false" ht="15" hidden="false" customHeight="false" outlineLevel="0" collapsed="false">
      <c r="A13" s="22" t="s">
        <v>212</v>
      </c>
      <c r="B13" s="35" t="n">
        <f aca="false">SUM(B6:B12)</f>
        <v>0.15</v>
      </c>
      <c r="C13" s="35" t="n">
        <f aca="false">SUM(C6:C12)</f>
        <v>2.52</v>
      </c>
      <c r="D13" s="35" t="n">
        <f aca="false">SUM(D6:D12)</f>
        <v>7.5</v>
      </c>
    </row>
    <row r="15" customFormat="false" ht="15" hidden="false" customHeight="false" outlineLevel="0" collapsed="false">
      <c r="A15" s="5" t="s">
        <v>213</v>
      </c>
      <c r="B15" s="5"/>
      <c r="C15" s="5"/>
      <c r="D15" s="5"/>
    </row>
    <row r="16" customFormat="false" ht="22.35" hidden="false" customHeight="false" outlineLevel="0" collapsed="false">
      <c r="A16" s="7"/>
      <c r="B16" s="8" t="s">
        <v>214</v>
      </c>
      <c r="C16" s="8" t="s">
        <v>215</v>
      </c>
      <c r="D16" s="8" t="s">
        <v>216</v>
      </c>
    </row>
    <row r="17" customFormat="false" ht="15" hidden="false" customHeight="false" outlineLevel="0" collapsed="false">
      <c r="A17" s="9" t="s">
        <v>217</v>
      </c>
      <c r="B17" s="36" t="n">
        <f aca="false">'Merger Model'!B21</f>
        <v>8.51702127659575</v>
      </c>
      <c r="C17" s="36" t="n">
        <f aca="false">D13</f>
        <v>7.5</v>
      </c>
      <c r="D17" s="21" t="n">
        <f aca="false">C17/B17</f>
        <v>0.880589557831626</v>
      </c>
    </row>
    <row r="18" customFormat="false" ht="15" hidden="false" customHeight="false" outlineLevel="0" collapsed="false">
      <c r="A18" s="9" t="s">
        <v>218</v>
      </c>
      <c r="B18" s="36" t="n">
        <f aca="false">'Merger Model'!B22</f>
        <v>18.5817021276596</v>
      </c>
      <c r="C18" s="36" t="n">
        <f aca="false">D13</f>
        <v>7.5</v>
      </c>
      <c r="D18" s="21" t="n">
        <f aca="false">C18/B18</f>
        <v>0.403622873107839</v>
      </c>
    </row>
    <row r="20" customFormat="false" ht="15" hidden="false" customHeight="false" outlineLevel="0" collapsed="false">
      <c r="A20" s="11" t="s">
        <v>219</v>
      </c>
    </row>
  </sheetData>
  <mergeCells count="2">
    <mergeCell ref="A1:D1"/>
    <mergeCell ref="A15:D15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5"/>
  </cols>
  <sheetData>
    <row r="1" customFormat="false" ht="21.75" hidden="false" customHeight="true" outlineLevel="0" collapsed="false">
      <c r="A1" s="1" t="s">
        <v>220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5" t="s">
        <v>221</v>
      </c>
      <c r="B3" s="5"/>
    </row>
    <row r="4" customFormat="false" ht="15" hidden="false" customHeight="false" outlineLevel="0" collapsed="false">
      <c r="A4" s="9" t="s">
        <v>222</v>
      </c>
      <c r="B4" s="19" t="n">
        <v>0.42</v>
      </c>
    </row>
    <row r="5" customFormat="false" ht="15" hidden="false" customHeight="false" outlineLevel="0" collapsed="false">
      <c r="A5" s="9" t="s">
        <v>223</v>
      </c>
      <c r="B5" s="24" t="n">
        <f aca="false">B4*Assumptions!C7</f>
        <v>5.4432</v>
      </c>
    </row>
    <row r="6" customFormat="false" ht="15" hidden="false" customHeight="false" outlineLevel="0" collapsed="false">
      <c r="A6" s="9" t="s">
        <v>224</v>
      </c>
      <c r="B6" s="19" t="n">
        <v>0.18</v>
      </c>
    </row>
    <row r="7" customFormat="false" ht="15" hidden="false" customHeight="false" outlineLevel="0" collapsed="false">
      <c r="A7" s="9" t="s">
        <v>225</v>
      </c>
      <c r="B7" s="19" t="n">
        <v>0.2</v>
      </c>
    </row>
    <row r="8" customFormat="false" ht="15" hidden="false" customHeight="false" outlineLevel="0" collapsed="false">
      <c r="A8" s="9" t="s">
        <v>226</v>
      </c>
      <c r="B8" s="24" t="n">
        <f aca="false">B6*Assumptions!B7</f>
        <v>0.6768</v>
      </c>
    </row>
    <row r="9" customFormat="false" ht="15" hidden="false" customHeight="false" outlineLevel="0" collapsed="false">
      <c r="A9" s="9" t="s">
        <v>227</v>
      </c>
      <c r="B9" s="24" t="n">
        <f aca="false">B7*Assumptions!B7</f>
        <v>0.752</v>
      </c>
    </row>
    <row r="10" customFormat="false" ht="15" hidden="false" customHeight="false" outlineLevel="0" collapsed="false">
      <c r="A10" s="9" t="s">
        <v>228</v>
      </c>
      <c r="B10" s="19" t="n">
        <v>0.824</v>
      </c>
    </row>
    <row r="11" customFormat="false" ht="15" hidden="false" customHeight="false" outlineLevel="0" collapsed="false">
      <c r="A11" s="9" t="s">
        <v>229</v>
      </c>
      <c r="B11" s="19" t="n">
        <v>0.851</v>
      </c>
    </row>
    <row r="13" customFormat="false" ht="15" hidden="false" customHeight="false" outlineLevel="0" collapsed="false">
      <c r="A13" s="5" t="s">
        <v>230</v>
      </c>
      <c r="B13" s="5"/>
      <c r="C13" s="5"/>
      <c r="D13" s="5"/>
      <c r="E13" s="5"/>
      <c r="F13" s="5"/>
    </row>
    <row r="14" customFormat="false" ht="32.8" hidden="false" customHeight="false" outlineLevel="0" collapsed="false">
      <c r="A14" s="7" t="s">
        <v>175</v>
      </c>
      <c r="B14" s="8" t="s">
        <v>231</v>
      </c>
      <c r="C14" s="8" t="s">
        <v>232</v>
      </c>
      <c r="D14" s="8" t="s">
        <v>233</v>
      </c>
      <c r="E14" s="8" t="s">
        <v>234</v>
      </c>
    </row>
    <row r="15" customFormat="false" ht="15" hidden="false" customHeight="false" outlineLevel="0" collapsed="false">
      <c r="A15" s="26" t="n">
        <v>0.3</v>
      </c>
      <c r="B15" s="24" t="n">
        <f aca="false">A15*$B$5</f>
        <v>1.63296</v>
      </c>
      <c r="C15" s="33" t="n">
        <f aca="false">'Merger Model'!C6</f>
        <v>7.648</v>
      </c>
      <c r="D15" s="21" t="n">
        <f aca="false">($B$8+B15)/C15</f>
        <v>0.302008368200837</v>
      </c>
      <c r="E15" s="21" t="n">
        <f aca="false">($B$9+B15)/C15</f>
        <v>0.3118410041841</v>
      </c>
    </row>
    <row r="16" customFormat="false" ht="15" hidden="false" customHeight="false" outlineLevel="0" collapsed="false">
      <c r="A16" s="26" t="n">
        <v>0.5</v>
      </c>
      <c r="B16" s="24" t="n">
        <f aca="false">A16*$B$5</f>
        <v>2.7216</v>
      </c>
      <c r="C16" s="33" t="n">
        <f aca="false">'Merger Model'!C7</f>
        <v>10.24</v>
      </c>
      <c r="D16" s="21" t="n">
        <f aca="false">($B$8+B16)/C16</f>
        <v>0.331875</v>
      </c>
      <c r="E16" s="21" t="n">
        <f aca="false">($B$9+B16)/C16</f>
        <v>0.33921875</v>
      </c>
    </row>
    <row r="17" customFormat="false" ht="15" hidden="false" customHeight="false" outlineLevel="0" collapsed="false">
      <c r="A17" s="26" t="n">
        <v>0.7</v>
      </c>
      <c r="B17" s="24" t="n">
        <f aca="false">A17*$B$5</f>
        <v>3.81024</v>
      </c>
      <c r="C17" s="33" t="n">
        <f aca="false">'Merger Model'!C8</f>
        <v>12.832</v>
      </c>
      <c r="D17" s="21" t="n">
        <f aca="false">($B$8+B17)/C17</f>
        <v>0.349675810473815</v>
      </c>
      <c r="E17" s="21" t="n">
        <f aca="false">($B$9+B17)/C17</f>
        <v>0.355536159600998</v>
      </c>
    </row>
    <row r="19" customFormat="false" ht="15" hidden="false" customHeight="false" outlineLevel="0" collapsed="false">
      <c r="A19" s="11" t="s">
        <v>235</v>
      </c>
    </row>
  </sheetData>
  <mergeCells count="3">
    <mergeCell ref="A1:F1"/>
    <mergeCell ref="A3:B3"/>
    <mergeCell ref="A13:F13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6"/>
  </cols>
  <sheetData>
    <row r="1" customFormat="false" ht="21.75" hidden="false" customHeight="true" outlineLevel="0" collapsed="false">
      <c r="A1" s="1" t="s">
        <v>236</v>
      </c>
      <c r="B1" s="1"/>
      <c r="C1" s="1"/>
      <c r="D1" s="1"/>
    </row>
    <row r="3" customFormat="false" ht="15" hidden="false" customHeight="false" outlineLevel="0" collapsed="false">
      <c r="A3" s="5" t="s">
        <v>237</v>
      </c>
      <c r="B3" s="5"/>
      <c r="C3" s="5"/>
      <c r="D3" s="5"/>
    </row>
    <row r="4" customFormat="false" ht="22.35" hidden="false" customHeight="false" outlineLevel="0" collapsed="false">
      <c r="A4" s="7" t="s">
        <v>238</v>
      </c>
      <c r="B4" s="8" t="s">
        <v>239</v>
      </c>
      <c r="C4" s="8" t="s">
        <v>240</v>
      </c>
      <c r="D4" s="8" t="s">
        <v>241</v>
      </c>
    </row>
    <row r="5" customFormat="false" ht="15" hidden="false" customHeight="false" outlineLevel="0" collapsed="false">
      <c r="A5" s="9" t="s">
        <v>242</v>
      </c>
      <c r="B5" s="19" t="n">
        <v>0.45</v>
      </c>
      <c r="C5" s="15" t="n">
        <v>164</v>
      </c>
      <c r="D5" s="40" t="n">
        <f aca="false">B5*C5</f>
        <v>73.8</v>
      </c>
    </row>
    <row r="6" customFormat="false" ht="15" hidden="false" customHeight="false" outlineLevel="0" collapsed="false">
      <c r="A6" s="9" t="s">
        <v>243</v>
      </c>
      <c r="B6" s="19" t="n">
        <v>0.4</v>
      </c>
      <c r="C6" s="36" t="n">
        <f aca="false">'Merger Model'!I13</f>
        <v>203.215</v>
      </c>
      <c r="D6" s="40" t="n">
        <f aca="false">B6*C6</f>
        <v>81.286</v>
      </c>
    </row>
    <row r="7" customFormat="false" ht="15" hidden="false" customHeight="false" outlineLevel="0" collapsed="false">
      <c r="A7" s="9" t="s">
        <v>244</v>
      </c>
      <c r="B7" s="19" t="n">
        <v>0.15</v>
      </c>
      <c r="C7" s="36" t="n">
        <f aca="false">'Merger Model'!I14</f>
        <v>284.501</v>
      </c>
      <c r="D7" s="40" t="n">
        <f aca="false">B7*C7</f>
        <v>42.67515</v>
      </c>
    </row>
    <row r="8" customFormat="false" ht="15" hidden="false" customHeight="false" outlineLevel="0" collapsed="false">
      <c r="A8" s="9" t="s">
        <v>245</v>
      </c>
      <c r="B8" s="21" t="n">
        <f aca="false">SUM(B5:B7)</f>
        <v>1</v>
      </c>
    </row>
    <row r="9" customFormat="false" ht="15" hidden="false" customHeight="false" outlineLevel="0" collapsed="false">
      <c r="A9" s="22" t="s">
        <v>246</v>
      </c>
      <c r="D9" s="35" t="n">
        <f aca="false">SUM(D5:D7)</f>
        <v>197.76115</v>
      </c>
    </row>
    <row r="10" customFormat="false" ht="15" hidden="false" customHeight="false" outlineLevel="0" collapsed="false">
      <c r="A10" s="9" t="s">
        <v>247</v>
      </c>
      <c r="D10" s="36" t="n">
        <f aca="false">Assumptions!C6</f>
        <v>200</v>
      </c>
    </row>
    <row r="11" customFormat="false" ht="15" hidden="false" customHeight="false" outlineLevel="0" collapsed="false">
      <c r="A11" s="22" t="s">
        <v>248</v>
      </c>
      <c r="D11" s="37" t="n">
        <f aca="false">D9/D10-1</f>
        <v>-0.01119425</v>
      </c>
    </row>
    <row r="13" customFormat="false" ht="15" hidden="false" customHeight="false" outlineLevel="0" collapsed="false">
      <c r="A13" s="5" t="s">
        <v>249</v>
      </c>
      <c r="B13" s="5"/>
      <c r="C13" s="5"/>
      <c r="D13" s="5"/>
    </row>
    <row r="14" customFormat="false" ht="15" hidden="false" customHeight="false" outlineLevel="0" collapsed="false">
      <c r="A14" s="9" t="s">
        <v>250</v>
      </c>
      <c r="B14" s="19" t="n">
        <v>0.47</v>
      </c>
    </row>
    <row r="15" customFormat="false" ht="15" hidden="false" customHeight="false" outlineLevel="0" collapsed="false">
      <c r="A15" s="9" t="s">
        <v>251</v>
      </c>
      <c r="B15" s="19" t="n">
        <v>0.53</v>
      </c>
    </row>
    <row r="16" customFormat="false" ht="15" hidden="false" customHeight="false" outlineLevel="0" collapsed="false">
      <c r="A16" s="9" t="s">
        <v>252</v>
      </c>
      <c r="B16" s="19" t="n">
        <v>0.7</v>
      </c>
    </row>
    <row r="17" customFormat="false" ht="15" hidden="false" customHeight="false" outlineLevel="0" collapsed="false">
      <c r="A17" s="9" t="s">
        <v>253</v>
      </c>
      <c r="B17" s="19" t="n">
        <v>0.3</v>
      </c>
    </row>
    <row r="18" customFormat="false" ht="15" hidden="false" customHeight="false" outlineLevel="0" collapsed="false">
      <c r="A18" s="9" t="s">
        <v>254</v>
      </c>
      <c r="B18" s="40" t="n">
        <f aca="false">B16*C6+B17*C7</f>
        <v>227.6008</v>
      </c>
    </row>
    <row r="19" customFormat="false" ht="15" hidden="false" customHeight="false" outlineLevel="0" collapsed="false">
      <c r="A19" s="22" t="s">
        <v>255</v>
      </c>
      <c r="B19" s="35" t="n">
        <f aca="false">B14*C5+B15*B18</f>
        <v>197.708424</v>
      </c>
    </row>
    <row r="21" customFormat="false" ht="15" hidden="false" customHeight="false" outlineLevel="0" collapsed="false">
      <c r="A21" s="11" t="s">
        <v>256</v>
      </c>
    </row>
  </sheetData>
  <mergeCells count="3">
    <mergeCell ref="A1:D1"/>
    <mergeCell ref="A3:D3"/>
    <mergeCell ref="A13:D13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2026-06-21T16:07:09Z</dcterms:created>
  <dc:creator>Prerna Dudhmande</dc:creator>
  <dc:description/>
  <dc:language>en-US</dc:language>
  <cp:lastModifiedBy>Prerna Dudhmande</cp:lastModifiedBy>
  <dcterms:modified xsi:type="dcterms:W3CDTF">2026-06-21T16:07:10Z</dcterms:modified>
  <cp:revision>0</cp:revision>
  <dc:subject>Independent M&amp;A Research Project</dc:subject>
  <dc:title>SpaceX + Tesla Merger Model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